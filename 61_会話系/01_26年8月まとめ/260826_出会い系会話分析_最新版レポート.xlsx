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tables/table7.xml" ContentType="application/vnd.openxmlformats-officedocument.spreadsheetml.table+xml"/>
  <Override PartName="/xl/worksheets/sheet6.xml" ContentType="application/vnd.openxmlformats-officedocument.spreadsheetml.worksheet+xml"/>
  <Override PartName="/xl/tables/table8.xml" ContentType="application/vnd.openxmlformats-officedocument.spreadsheetml.table+xml"/>
  <Override PartName="/xl/worksheets/sheet7.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worksheets/sheet8.xml" ContentType="application/vnd.openxmlformats-officedocument.spreadsheetml.worksheet+xml"/>
  <Override PartName="/xl/tables/table11.xml" ContentType="application/vnd.openxmlformats-officedocument.spreadsheetml.table+xml"/>
  <Override PartName="/xl/worksheets/sheet9.xml" ContentType="application/vnd.openxmlformats-officedocument.spreadsheetml.worksheet+xml"/>
  <Override PartName="/xl/tables/table12.xml" ContentType="application/vnd.openxmlformats-officedocument.spreadsheetml.table+xml"/>
  <Override PartName="/xl/worksheets/sheet10.xml" ContentType="application/vnd.openxmlformats-officedocument.spreadsheetml.worksheet+xml"/>
  <Override PartName="/xl/tables/table13.xml" ContentType="application/vnd.openxmlformats-officedocument.spreadsheetml.table+xml"/>
  <Override PartName="/xl/worksheets/sheet11.xml" ContentType="application/vnd.openxmlformats-officedocument.spreadsheetml.worksheet+xml"/>
  <Override PartName="/xl/tables/table14.xml" ContentType="application/vnd.openxmlformats-officedocument.spreadsheetml.table+xml"/>
  <Override PartName="/xl/worksheets/sheet12.xml" ContentType="application/vnd.openxmlformats-officedocument.spreadsheetml.worksheet+xml"/>
  <Override PartName="/xl/tables/table15.xml" ContentType="application/vnd.openxmlformats-officedocument.spreadsheetml.table+xml"/>
  <Override PartName="/xl/tables/table16.xml" ContentType="application/vnd.openxmlformats-officedocument.spreadsheetml.table+xml"/>
  <Override PartName="/xl/worksheets/sheet13.xml" ContentType="application/vnd.openxmlformats-officedocument.spreadsheetml.worksheet+xml"/>
  <Override PartName="/xl/tables/table17.xml" ContentType="application/vnd.openxmlformats-officedocument.spreadsheetml.table+xml"/>
  <Override PartName="/xl/worksheets/sheet14.xml" ContentType="application/vnd.openxmlformats-officedocument.spreadsheetml.worksheet+xml"/>
  <Override PartName="/xl/tables/table18.xml" ContentType="application/vnd.openxmlformats-officedocument.spreadsheetml.table+xml"/>
  <Override PartName="/xl/worksheets/sheet15.xml" ContentType="application/vnd.openxmlformats-officedocument.spreadsheetml.worksheet+xml"/>
  <Override PartName="/xl/tables/table1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6ceb1f06ac8438a" /></Relationships>
</file>

<file path=xl/workbook.xml><?xml version="1.0" encoding="utf-8"?>
<x:workbook xmlns:x="http://schemas.openxmlformats.org/spreadsheetml/2006/main">
  <x:sheets>
    <x:sheet xmlns:r="http://schemas.openxmlformats.org/officeDocument/2006/relationships" name="00_ダッシュボード" sheetId="1" r:id="R8a2f232cbc5a4489"/>
    <x:sheet xmlns:r="http://schemas.openxmlformats.org/officeDocument/2006/relationships" name="01_要約" sheetId="2" r:id="R169354170daa485f"/>
    <x:sheet xmlns:r="http://schemas.openxmlformats.org/officeDocument/2006/relationships" name="02_対象と信頼度" sheetId="3" r:id="R37683b4a02b04045"/>
    <x:sheet xmlns:r="http://schemas.openxmlformats.org/officeDocument/2006/relationships" name="03_最新プロファイル" sheetId="4" r:id="R15df662d65ad4115"/>
    <x:sheet xmlns:r="http://schemas.openxmlformats.org/officeDocument/2006/relationships" name="04_話題ランキング" sheetId="5" r:id="R6756c0f9ec9b4154"/>
    <x:sheet xmlns:r="http://schemas.openxmlformats.org/officeDocument/2006/relationships" name="05_会話テンプレート" sheetId="6" r:id="R9336bd05494644ba"/>
    <x:sheet xmlns:r="http://schemas.openxmlformats.org/officeDocument/2006/relationships" name="06_媒体別" sheetId="7" r:id="R0354e110634e4a3c"/>
    <x:sheet xmlns:r="http://schemas.openxmlformats.org/officeDocument/2006/relationships" name="07_相手別比較" sheetId="8" r:id="Rc075fb27d6e54a88"/>
    <x:sheet xmlns:r="http://schemas.openxmlformats.org/officeDocument/2006/relationships" name="08_成功パターン" sheetId="9" r:id="R4cc658252f9a4e2b"/>
    <x:sheet xmlns:r="http://schemas.openxmlformats.org/officeDocument/2006/relationships" name="09_失速パターン" sheetId="10" r:id="Re1394d17cc3947a4"/>
    <x:sheet xmlns:r="http://schemas.openxmlformats.org/officeDocument/2006/relationships" name="10_みずき最新" sheetId="11" r:id="Rd1e5ea6c5df84381"/>
    <x:sheet xmlns:r="http://schemas.openxmlformats.org/officeDocument/2006/relationships" name="11_Codex仕様" sheetId="12" r:id="R70baec796214429d"/>
    <x:sheet xmlns:r="http://schemas.openxmlformats.org/officeDocument/2006/relationships" name="12_次回ログ入力" sheetId="13" r:id="R1ea81893cbac4eb6"/>
    <x:sheet xmlns:r="http://schemas.openxmlformats.org/officeDocument/2006/relationships" name="13_更新履歴" sheetId="14" r:id="R6df5edd8c8ec4f38"/>
    <x:sheet xmlns:r="http://schemas.openxmlformats.org/officeDocument/2006/relationships" name="14_ソース一覧" sheetId="15" r:id="R1db06fe2ecc4437e"/>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00"/>
  </x:numFmts>
  <x:fonts count="5">
    <x:font>
      <x:sz val="11"/>
      <x:name val="Carlito"/>
    </x:font>
    <x:font>
      <x:b/>
      <x:sz val="18"/>
      <x:color rgb="FFFFFFFF"/>
      <x:name val="Meiryo UI"/>
    </x:font>
    <x:font>
      <x:sz val="10"/>
      <x:color rgb="FF667085"/>
      <x:name val="Meiryo UI"/>
    </x:font>
    <x:font>
      <x:b/>
      <x:sz val="10"/>
      <x:color rgb="FFFFFFFF"/>
      <x:name val="Meiryo UI"/>
    </x:font>
    <x:font>
      <x:sz val="10"/>
      <x:color rgb="FF172033"/>
      <x:name val="Meiryo UI"/>
    </x:font>
  </x:fonts>
  <x:fills count="6">
    <x:fill>
      <x:patternFill patternType="none"/>
    </x:fill>
    <x:fill>
      <x:patternFill patternType="gray125"/>
    </x:fill>
    <x:fill>
      <x:patternFill patternType="solid">
        <x:fgColor rgb="FF153E5C"/>
      </x:patternFill>
    </x:fill>
    <x:fill>
      <x:patternFill patternType="solid">
        <x:fgColor rgb="FFEAF3FF"/>
      </x:patternFill>
    </x:fill>
    <x:fill>
      <x:patternFill patternType="solid">
        <x:fgColor rgb="FF13795B"/>
      </x:patternFill>
    </x:fill>
    <x:fill>
      <x:patternFill patternType="solid">
        <x:fgColor rgb="FF2563EB"/>
      </x:patternFill>
    </x:fill>
  </x:fills>
  <x:borders count="2">
    <x:border/>
    <x:border/>
  </x:borders>
  <x:cellStyleXfs count="1">
    <x:xf numFmtId="0" fontId="0" fillId="0" borderId="0"/>
  </x:cellStyleXfs>
  <x:cellXfs count="5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1" fillId="2" borderId="0" xfId="0" applyNumberFormat="1" applyFont="1" applyFill="1" applyBorder="1" applyAlignment="1">
      <x:alignment horizontal="lef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left" wrapText="1"/>
    </x:xf>
    <x:xf numFmtId="0" fontId="1" fillId="2" borderId="1" xfId="0" applyNumberFormat="1" applyFont="1" applyFill="1" applyBorder="1" applyAlignment="1">
      <x:alignment horizontal="lef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left" wrapText="1"/>
    </x:xf>
    <x:xf numFmtId="0" fontId="2" fillId="3" borderId="0" xfId="0" applyNumberFormat="1" applyFont="1" applyFill="1" applyBorder="1" applyAlignment="1">
      <x:alignment horizontal="lef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left" wrapText="1"/>
    </x:xf>
    <x:xf numFmtId="0" fontId="2" fillId="3" borderId="1" xfId="0" applyNumberFormat="1" applyFont="1" applyFill="1" applyBorder="1" applyAlignment="1">
      <x:alignment horizontal="lef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vertical="top"/>
    </x:xf>
    <x:xf numFmtId="0" fontId="4" fillId="0" borderId="1" xfId="0" applyNumberFormat="1" applyFont="1" applyFill="1" applyBorder="1" applyAlignment="1">
      <x:alignment vertical="top"/>
    </x:xf>
    <x:xf numFmtId="0" fontId="4" fillId="0" borderId="0" xfId="0" applyNumberFormat="1" applyFont="1" applyFill="1" applyBorder="1" applyAlignment="1">
      <x:alignment vertical="top" wrapText="1"/>
    </x:xf>
    <x:xf numFmtId="0" fontId="4"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201" fontId="4" fillId="0" borderId="0" xfId="0" applyNumberFormat="1" applyFont="1" applyFill="1" applyBorder="1" applyAlignment="1">
      <x:alignment vertical="top" wrapText="1"/>
    </x:xf>
    <x:xf numFmtId="201"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962663cd554e8b" /><Relationship Type="http://schemas.openxmlformats.org/officeDocument/2006/relationships/theme" Target="/xl/theme/theme1.xml" Id="Rc0e5e4adfa244c6a" /><Relationship Type="http://schemas.openxmlformats.org/officeDocument/2006/relationships/sharedStrings" Target="/xl/sharedStrings.xml" Id="Rd37014dc25994ac6" /><Relationship Type="http://schemas.openxmlformats.org/officeDocument/2006/relationships/worksheet" Target="/xl/worksheets/sheet1.xml" Id="R8a2f232cbc5a4489" /><Relationship Type="http://schemas.openxmlformats.org/officeDocument/2006/relationships/worksheet" Target="/xl/worksheets/sheet2.xml" Id="R169354170daa485f" /><Relationship Type="http://schemas.openxmlformats.org/officeDocument/2006/relationships/worksheet" Target="/xl/worksheets/sheet3.xml" Id="R37683b4a02b04045" /><Relationship Type="http://schemas.openxmlformats.org/officeDocument/2006/relationships/worksheet" Target="/xl/worksheets/sheet4.xml" Id="R15df662d65ad4115" /><Relationship Type="http://schemas.openxmlformats.org/officeDocument/2006/relationships/worksheet" Target="/xl/worksheets/sheet5.xml" Id="R6756c0f9ec9b4154" /><Relationship Type="http://schemas.openxmlformats.org/officeDocument/2006/relationships/worksheet" Target="/xl/worksheets/sheet6.xml" Id="R9336bd05494644ba" /><Relationship Type="http://schemas.openxmlformats.org/officeDocument/2006/relationships/worksheet" Target="/xl/worksheets/sheet7.xml" Id="R0354e110634e4a3c" /><Relationship Type="http://schemas.openxmlformats.org/officeDocument/2006/relationships/worksheet" Target="/xl/worksheets/sheet8.xml" Id="Rc075fb27d6e54a88" /><Relationship Type="http://schemas.openxmlformats.org/officeDocument/2006/relationships/worksheet" Target="/xl/worksheets/sheet9.xml" Id="R4cc658252f9a4e2b" /><Relationship Type="http://schemas.openxmlformats.org/officeDocument/2006/relationships/worksheet" Target="/xl/worksheets/sheet10.xml" Id="Re1394d17cc3947a4" /><Relationship Type="http://schemas.openxmlformats.org/officeDocument/2006/relationships/worksheet" Target="/xl/worksheets/sheet11.xml" Id="Rd1e5ea6c5df84381" /><Relationship Type="http://schemas.openxmlformats.org/officeDocument/2006/relationships/worksheet" Target="/xl/worksheets/sheet12.xml" Id="R70baec796214429d" /><Relationship Type="http://schemas.openxmlformats.org/officeDocument/2006/relationships/worksheet" Target="/xl/worksheets/sheet13.xml" Id="R1ea81893cbac4eb6" /><Relationship Type="http://schemas.openxmlformats.org/officeDocument/2006/relationships/worksheet" Target="/xl/worksheets/sheet14.xml" Id="R6df5edd8c8ec4f38" /><Relationship Type="http://schemas.openxmlformats.org/officeDocument/2006/relationships/worksheet" Target="/xl/worksheets/sheet15.xml" Id="R1db06fe2ecc4437e" /></Relationships>
</file>

<file path=xl/drawings/_rels/drawing1.xml.rels>&#65279;<?xml version="1.0" encoding="utf-8"?><Relationships xmlns="http://schemas.openxmlformats.org/package/2006/relationships"><Relationship Type="http://schemas.openxmlformats.org/officeDocument/2006/relationships/chart" Target="/xl/drawings/charts/chart1.xml" Id="R307d1bf00f3344ed" /></Relationships>
</file>

<file path=xl/drawings/_rels/drawing2.xml.rels>&#65279;<?xml version="1.0" encoding="utf-8"?><Relationships xmlns="http://schemas.openxmlformats.org/package/2006/relationships"><Relationship Type="http://schemas.openxmlformats.org/officeDocument/2006/relationships/chart" Target="/xl/drawings/charts/chart2.xml" Id="R938a888143794406"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標準化済み会話スコア</a:t>
            </a:r>
          </a:p>
        </c:rich>
      </c:tx>
    </c:title>
    <c:plotArea>
      <c:barChart>
        <c:barDir val="col"/>
        <c:varyColors val="0"/>
        <c:ser>
          <c:idx val="0"/>
          <c:order val="0"/>
          <c:tx>
            <c:v>スコア/5</c:v>
          </c:tx>
          <c:cat>
            <c:strRef>
              <c:f>'00_ダッシュボード'!$F$5:$F$14</c:f>
              <c:strCache>
                <c:ptCount val="0"/>
              </c:strCache>
            </c:strRef>
          </c:cat>
          <c:val>
            <c:numRef>
              <c:f>'00_ダッシュボード'!$G$5:$G$14</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話題別 総合スコア</a:t>
            </a:r>
          </a:p>
        </c:rich>
      </c:tx>
    </c:title>
    <c:plotArea>
      <c:barChart>
        <c:barDir val="col"/>
        <c:varyColors val="0"/>
        <c:ser>
          <c:idx val="0"/>
          <c:order val="0"/>
          <c:tx>
            <c:v>総合</c:v>
          </c:tx>
          <c:cat>
            <c:strRef>
              <c:f>'04_話題ランキング'!$L$5:$L$13</c:f>
              <c:strCache>
                <c:ptCount val="0"/>
              </c:strCache>
            </c:strRef>
          </c:cat>
          <c:val>
            <c:numRef>
              <c:f>'04_話題ランキング'!$M$5:$M$13</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15</xdr:row>
      <xdr:rowOff>0</xdr:rowOff>
    </xdr:from>
    <xdr:to>
      <xdr:col>12</xdr:col>
      <xdr:colOff>0</xdr:colOff>
      <xdr:row>33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07d1bf00f3344ed"/>
        </a:graphicData>
      </a:graphic>
    </xdr:graphicFrame>
    <xdr:clientData/>
  </xdr:twoCellAnchor>
</xdr:wsDr>
</file>

<file path=xl/drawings/drawing2.xml><?xml version="1.0" encoding="utf-8"?>
<xdr:wsDr xmlns:xdr="http://schemas.openxmlformats.org/drawingml/2006/spreadsheetDrawing">
  <xdr:twoCellAnchor>
    <xdr:from>
      <xdr:col>11</xdr:col>
      <xdr:colOff>0</xdr:colOff>
      <xdr:row>14</xdr:row>
      <xdr:rowOff>0</xdr:rowOff>
    </xdr:from>
    <xdr:to>
      <xdr:col>19</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938a888143794406"/>
        </a:graphicData>
      </a:graphic>
    </xdr:graphicFrame>
    <xdr:clientData/>
  </xdr:twoCellAnchor>
</xdr:wsDr>
</file>

<file path=xl/tables/table1.xml><?xml version="1.0" encoding="utf-8"?>
<x:table xmlns:x="http://schemas.openxmlformats.org/spreadsheetml/2006/main" id="1" name="T_DashboardKPI" displayName="T_DashboardKPI" ref="A4:D12" headerRowCount="1" totalsRowCount="0" totalsRowShown="0">
  <x:tableColumns count="4">
    <x:tableColumn id="1" name="KPI"/>
    <x:tableColumn id="2" name="値"/>
    <x:tableColumn id="3" name="判定"/>
    <x:tableColumn id="4" name="意味"/>
  </x:tableColumns>
  <x:tableStyleInfo name="TableStyleMedium2" showFirstColumn="0" showLastColumn="0" showRowStripes="1" showColumnStripes="0"/>
</x:table>
</file>

<file path=xl/tables/table2.xml><?xml version="1.0" encoding="utf-8"?>
<x:table xmlns:x="http://schemas.openxmlformats.org/spreadsheetml/2006/main" id="2" name="T_DimensionScores" displayName="T_DimensionScores" ref="F4:H14" headerRowCount="1" totalsRowCount="0" totalsRowShown="0">
  <x:tableColumns count="3">
    <x:tableColumn id="1" name="標準化指標"/>
    <x:tableColumn id="2" name="スコア/5"/>
    <x:tableColumn id="3" name="読み取り"/>
  </x:tableColumns>
  <x:tableStyleInfo name="TableStyleMedium2" showFirstColumn="0" showLastColumn="0" showRowStripes="1" showColumnStripes="0"/>
</x:table>
</file>

<file path=xl/tables/table3.xml><?xml version="1.0" encoding="utf-8"?>
<x:table xmlns:x="http://schemas.openxmlformats.org/spreadsheetml/2006/main" id="3" name="T_ExecutiveSummary" displayName="T_ExecutiveSummary" ref="A4:D14" headerRowCount="1" totalsRowCount="0" totalsRowShown="0">
  <x:tableColumns count="4">
    <x:tableColumn id="1" name="項目"/>
    <x:tableColumn id="2" name="最新版の内容"/>
    <x:tableColumn id="3" name="確信度"/>
    <x:tableColumn id="4" name="主な根拠"/>
  </x:tableColumns>
  <x:tableStyleInfo name="TableStyleMedium2" showFirstColumn="0" showLastColumn="0" showRowStripes="1" showColumnStripes="0"/>
</x:table>
</file>

<file path=xl/tables/table4.xml><?xml version="1.0" encoding="utf-8"?>
<x:table xmlns:x="http://schemas.openxmlformats.org/spreadsheetml/2006/main" id="4" name="T_SourceOverview" displayName="T_SourceOverview" ref="A4:F11" headerRowCount="1" totalsRowCount="0" totalsRowShown="0">
  <x:tableColumns count="6">
    <x:tableColumn id="1" name="ID"/>
    <x:tableColumn id="2" name="資料"/>
    <x:tableColumn id="3" name="対象日/作成日"/>
    <x:tableColumn id="4" name="主な用途"/>
    <x:tableColumn id="5" name="信頼度"/>
    <x:tableColumn id="6" name="注意"/>
  </x:tableColumns>
  <x:tableStyleInfo name="TableStyleMedium2" showFirstColumn="0" showLastColumn="0" showRowStripes="1" showColumnStripes="0"/>
</x:table>
</file>

<file path=xl/tables/table5.xml><?xml version="1.0" encoding="utf-8"?>
<x:table xmlns:x="http://schemas.openxmlformats.org/spreadsheetml/2006/main" id="5" name="T_DataQuality" displayName="T_DataQuality" ref="A14:D19" headerRowCount="1" totalsRowCount="0" totalsRowShown="0">
  <x:tableColumns count="4">
    <x:tableColumn id="1" name="データ種別"/>
    <x:tableColumn id="2" name="判定方法"/>
    <x:tableColumn id="3" name="信頼度"/>
    <x:tableColumn id="4" name="扱い"/>
  </x:tableColumns>
  <x:tableStyleInfo name="TableStyleMedium2" showFirstColumn="0" showLastColumn="0" showRowStripes="1" showColumnStripes="0"/>
</x:table>
</file>

<file path=xl/tables/table6.xml><?xml version="1.0" encoding="utf-8"?>
<x:table xmlns:x="http://schemas.openxmlformats.org/spreadsheetml/2006/main" id="6" name="T_LatestProfile" displayName="T_LatestProfile" ref="A4:F15" headerRowCount="1" totalsRowCount="0" totalsRowShown="0">
  <x:tableColumns count="6">
    <x:tableColumn id="1" name="項目"/>
    <x:tableColumn id="2" name="スコア/5"/>
    <x:tableColumn id="3" name="現状"/>
    <x:tableColumn id="4" name="根拠"/>
    <x:tableColumn id="5" name="確信度"/>
    <x:tableColumn id="6" name="次の改善"/>
  </x:tableColumns>
  <x:tableStyleInfo name="TableStyleMedium2" showFirstColumn="0" showLastColumn="0" showRowStripes="1" showColumnStripes="0"/>
</x:table>
</file>

<file path=xl/tables/table7.xml><?xml version="1.0" encoding="utf-8"?>
<x:table xmlns:x="http://schemas.openxmlformats.org/spreadsheetml/2006/main" id="7" name="T_TopicRanking" displayName="T_TopicRanking" ref="A4:J13" headerRowCount="1" totalsRowCount="0" totalsRowShown="0">
  <x:tableColumns count="10">
    <x:tableColumn id="1" name="話題"/>
    <x:tableColumn id="2" name="再現性"/>
    <x:tableColumn id="3" name="返信拡張"/>
    <x:tableColumn id="4" name="前進接続"/>
    <x:tableColumn id="5" name="リスク"/>
    <x:tableColumn id="6" name="最新性"/>
    <x:tableColumn id="7" name="総合"/>
    <x:tableColumn id="8" name="推奨場面"/>
    <x:tableColumn id="9" name="振り方"/>
    <x:tableColumn id="10" name="根拠"/>
  </x:tableColumns>
  <x:tableStyleInfo name="TableStyleMedium2" showFirstColumn="0" showLastColumn="0" showRowStripes="1" showColumnStripes="0"/>
</x:table>
</file>

<file path=xl/tables/table8.xml><?xml version="1.0" encoding="utf-8"?>
<x:table xmlns:x="http://schemas.openxmlformats.org/spreadsheetml/2006/main" id="8" name="T_ConversationTemplate" displayName="T_ConversationTemplate" ref="A4:F12" headerRowCount="1" totalsRowCount="0" totalsRowShown="0">
  <x:tableColumns count="6">
    <x:tableColumn id="1" name="段階"/>
    <x:tableColumn id="2" name="役割"/>
    <x:tableColumn id="3" name="基本ルール"/>
    <x:tableColumn id="4" name="テンプレート例"/>
    <x:tableColumn id="5" name="成功サイン"/>
    <x:tableColumn id="6" name="停止・注意条件"/>
  </x:tableColumns>
  <x:tableStyleInfo name="TableStyleMedium2" showFirstColumn="0" showLastColumn="0" showRowStripes="1" showColumnStripes="0"/>
</x:table>
</file>

<file path=xl/tables/table9.xml><?xml version="1.0" encoding="utf-8"?>
<x:table xmlns:x="http://schemas.openxmlformats.org/spreadsheetml/2006/main" id="9" name="T_MediaStrategy" displayName="T_MediaStrategy" ref="A4:G7" headerRowCount="1" totalsRowCount="0" totalsRowShown="0">
  <x:tableColumns count="7">
    <x:tableColumn id="1" name="媒体"/>
    <x:tableColumn id="2" name="現在の強さ/5"/>
    <x:tableColumn id="3" name="主要な強み"/>
    <x:tableColumn id="4" name="得意話題"/>
    <x:tableColumn id="5" name="成功サイン"/>
    <x:tableColumn id="6" name="主なリスク"/>
    <x:tableColumn id="7" name="基本型"/>
  </x:tableColumns>
  <x:tableStyleInfo name="TableStyleMedium2" showFirstColumn="0" showLastColumn="0" showRowStripes="1" showColumnStripes="0"/>
</x:table>
</file>

<file path=xl/tables/table10.xml><?xml version="1.0" encoding="utf-8"?>
<x:table xmlns:x="http://schemas.openxmlformats.org/spreadsheetml/2006/main" id="10" name="T_PhoneExamples" displayName="T_PhoneExamples" ref="A10:D13" headerRowCount="1" totalsRowCount="0" totalsRowShown="0">
  <x:tableColumns count="4">
    <x:tableColumn id="1" name="電話報告の相手例"/>
    <x:tableColumn id="2" name="刺さった入口"/>
    <x:tableColumn id="3" name="有効な深掘り"/>
    <x:tableColumn id="4" name="学び"/>
  </x:tableColumns>
  <x:tableStyleInfo name="TableStyleMedium2" showFirstColumn="0" showLastColumn="0" showRowStripes="1" showColumnStripes="0"/>
</x:table>
</file>

<file path=xl/tables/table11.xml><?xml version="1.0" encoding="utf-8"?>
<x:table xmlns:x="http://schemas.openxmlformats.org/spreadsheetml/2006/main" id="11" name="T_PartnerComparison" displayName="T_PartnerComparison" ref="A4:H10" headerRowCount="1" totalsRowCount="0" totalsRowShown="0">
  <x:tableColumns count="8">
    <x:tableColumn id="1" name="相手"/>
    <x:tableColumn id="2" name="媒体"/>
    <x:tableColumn id="3" name="関係段階"/>
    <x:tableColumn id="4" name="温度感/5"/>
    <x:tableColumn id="5" name="盛り上がる話題"/>
    <x:tableColumn id="6" name="成功しやすい進め方"/>
    <x:tableColumn id="7" name="主なリスク"/>
    <x:tableColumn id="8" name="次回方針"/>
  </x:tableColumns>
  <x:tableStyleInfo name="TableStyleMedium2" showFirstColumn="0" showLastColumn="0" showRowStripes="1" showColumnStripes="0"/>
</x:table>
</file>

<file path=xl/tables/table12.xml><?xml version="1.0" encoding="utf-8"?>
<x:table xmlns:x="http://schemas.openxmlformats.org/spreadsheetml/2006/main" id="12" name="T_SuccessPatterns" displayName="T_SuccessPatterns" ref="A4:G14" headerRowCount="1" totalsRowCount="0" totalsRowShown="0">
  <x:tableColumns count="7">
    <x:tableColumn id="1" name="ID"/>
    <x:tableColumn id="2" name="パターン"/>
    <x:tableColumn id="3" name="確認された反応"/>
    <x:tableColumn id="4" name="再利用構造"/>
    <x:tableColumn id="5" name="場面"/>
    <x:tableColumn id="6" name="確信度"/>
    <x:tableColumn id="7" name="注意"/>
  </x:tableColumns>
  <x:tableStyleInfo name="TableStyleMedium2" showFirstColumn="0" showLastColumn="0" showRowStripes="1" showColumnStripes="0"/>
</x:table>
</file>

<file path=xl/tables/table13.xml><?xml version="1.0" encoding="utf-8"?>
<x:table xmlns:x="http://schemas.openxmlformats.org/spreadsheetml/2006/main" id="13" name="T_FailurePatterns" displayName="T_FailurePatterns" ref="A4:F16" headerRowCount="1" totalsRowCount="0" totalsRowShown="0">
  <x:tableColumns count="6">
    <x:tableColumn id="1" name="ID"/>
    <x:tableColumn id="2" name="失速パターン"/>
    <x:tableColumn id="3" name="典型的な形"/>
    <x:tableColumn id="4" name="起こること"/>
    <x:tableColumn id="5" name="即時修正"/>
    <x:tableColumn id="6" name="確信度"/>
  </x:tableColumns>
  <x:tableStyleInfo name="TableStyleMedium2" showFirstColumn="0" showLastColumn="0" showRowStripes="1" showColumnStripes="0"/>
</x:table>
</file>

<file path=xl/tables/table14.xml><?xml version="1.0" encoding="utf-8"?>
<x:table xmlns:x="http://schemas.openxmlformats.org/spreadsheetml/2006/main" id="14" name="T_MizukiLatest" displayName="T_MizukiLatest" ref="A4:E14" headerRowCount="1" totalsRowCount="0" totalsRowShown="0">
  <x:tableColumns count="5">
    <x:tableColumn id="1" name="区分"/>
    <x:tableColumn id="2" name="確認内容"/>
    <x:tableColumn id="3" name="読み取り"/>
    <x:tableColumn id="4" name="確信度"/>
    <x:tableColumn id="5" name="実務方針"/>
  </x:tableColumns>
  <x:tableStyleInfo name="TableStyleMedium2" showFirstColumn="0" showLastColumn="0" showRowStripes="1" showColumnStripes="0"/>
</x:table>
</file>

<file path=xl/tables/table15.xml><?xml version="1.0" encoding="utf-8"?>
<x:table xmlns:x="http://schemas.openxmlformats.org/spreadsheetml/2006/main" id="15" name="T_CodexProcess" displayName="T_CodexProcess" ref="A4:D14" headerRowCount="1" totalsRowCount="0" totalsRowShown="0">
  <x:tableColumns count="4">
    <x:tableColumn id="1" name="工程"/>
    <x:tableColumn id="2" name="処理"/>
    <x:tableColumn id="3" name="必須内容"/>
    <x:tableColumn id="4" name="品質条件"/>
  </x:tableColumns>
  <x:tableStyleInfo name="TableStyleMedium2" showFirstColumn="0" showLastColumn="0" showRowStripes="1" showColumnStripes="0"/>
</x:table>
</file>

<file path=xl/tables/table16.xml><?xml version="1.0" encoding="utf-8"?>
<x:table xmlns:x="http://schemas.openxmlformats.org/spreadsheetml/2006/main" id="16" name="T_CodexOutputs" displayName="T_CodexOutputs" ref="A17:B22" headerRowCount="1" totalsRowCount="0" totalsRowShown="0">
  <x:tableColumns count="2">
    <x:tableColumn id="1" name="必須出力"/>
    <x:tableColumn id="2" name="内容"/>
  </x:tableColumns>
  <x:tableStyleInfo name="TableStyleMedium2" showFirstColumn="0" showLastColumn="0" showRowStripes="1" showColumnStripes="0"/>
</x:table>
</file>

<file path=xl/tables/table17.xml><?xml version="1.0" encoding="utf-8"?>
<x:table xmlns:x="http://schemas.openxmlformats.org/spreadsheetml/2006/main" id="17" name="T_NextLogs" displayName="T_NextLogs" ref="A4:S34" headerRowCount="1" totalsRowCount="0" totalsRowShown="0">
  <x:tableColumns count="19">
    <x:tableColumn id="1" name="date"/>
    <x:tableColumn id="2" name="partner_id"/>
    <x:tableColumn id="3" name="nickname"/>
    <x:tableColumn id="4" name="媒体"/>
    <x:tableColumn id="5" name="フェーズ"/>
    <x:tableColumn id="6" name="主話題"/>
    <x:tableColumn id="7" name="自分の送信"/>
    <x:tableColumn id="8" name="相手の返信"/>
    <x:tableColumn id="9" name="文量変化"/>
    <x:tableColumn id="10" name="質問返し"/>
    <x:tableColumn id="11" name="自己開示"/>
    <x:tableColumn id="12" name="具体名"/>
    <x:tableColumn id="13" name="笑い/絵文字"/>
    <x:tableColumn id="14" name="次行動"/>
    <x:tableColumn id="15" name="温度変化"/>
    <x:tableColumn id="16" name="成功度1-5"/>
    <x:tableColumn id="17" name="確信度"/>
    <x:tableColumn id="18" name="source_file"/>
    <x:tableColumn id="19" name="備考"/>
  </x:tableColumns>
  <x:tableStyleInfo name="TableStyleMedium2" showFirstColumn="0" showLastColumn="0" showRowStripes="1" showColumnStripes="0"/>
</x:table>
</file>

<file path=xl/tables/table18.xml><?xml version="1.0" encoding="utf-8"?>
<x:table xmlns:x="http://schemas.openxmlformats.org/spreadsheetml/2006/main" id="18" name="T_UpdateHistory" displayName="T_UpdateHistory" ref="A4:E8" headerRowCount="1" totalsRowCount="0" totalsRowShown="0">
  <x:tableColumns count="5">
    <x:tableColumn id="1" name="日付"/>
    <x:tableColumn id="2" name="版"/>
    <x:tableColumn id="3" name="更新内容"/>
    <x:tableColumn id="4" name="根拠"/>
    <x:tableColumn id="5" name="留保"/>
  </x:tableColumns>
  <x:tableStyleInfo name="TableStyleMedium2" showFirstColumn="0" showLastColumn="0" showRowStripes="1" showColumnStripes="0"/>
</x:table>
</file>

<file path=xl/tables/table19.xml><?xml version="1.0" encoding="utf-8"?>
<x:table xmlns:x="http://schemas.openxmlformats.org/spreadsheetml/2006/main" id="19" name="T_SourceRefs" displayName="T_SourceRefs" ref="A4:C14" headerRowCount="1" totalsRowCount="0" totalsRowShown="0">
  <x:tableColumns count="3">
    <x:tableColumn id="1" name="ファイル名"/>
    <x:tableColumn id="2" name="Library file_id"/>
    <x:tableColumn id="3" name="用途"/>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1b352f8fe7b0463f" /><Relationship Type="http://schemas.openxmlformats.org/officeDocument/2006/relationships/table" Target="/xl/tables/table1.xml" Id="R67b83003589b4614" /><Relationship Type="http://schemas.openxmlformats.org/officeDocument/2006/relationships/table" Target="/xl/tables/table2.xml" Id="Rc591621b8b4f4f72" /></Relationships>
</file>

<file path=xl/worksheets/_rels/sheet2.xml.rels>&#65279;<?xml version="1.0" encoding="utf-8"?><Relationships xmlns="http://schemas.openxmlformats.org/package/2006/relationships"><Relationship Type="http://schemas.openxmlformats.org/officeDocument/2006/relationships/table" Target="/xl/tables/table3.xml" Id="R0f8a8c289afb45d9" /></Relationships>
</file>

<file path=xl/worksheets/_rels/sheet3.xml.rels>&#65279;<?xml version="1.0" encoding="utf-8"?><Relationships xmlns="http://schemas.openxmlformats.org/package/2006/relationships"><Relationship Type="http://schemas.openxmlformats.org/officeDocument/2006/relationships/table" Target="/xl/tables/table4.xml" Id="R87841d1998cd4800" /><Relationship Type="http://schemas.openxmlformats.org/officeDocument/2006/relationships/table" Target="/xl/tables/table5.xml" Id="Re6e495cac49c4ef8" /></Relationships>
</file>

<file path=xl/worksheets/_rels/sheet4.xml.rels>&#65279;<?xml version="1.0" encoding="utf-8"?><Relationships xmlns="http://schemas.openxmlformats.org/package/2006/relationships"><Relationship Type="http://schemas.openxmlformats.org/officeDocument/2006/relationships/table" Target="/xl/tables/table6.xml" Id="R5fd6cfaa5c5c444a" /></Relationships>
</file>

<file path=xl/worksheets/_rels/sheet5.xml.rels>&#65279;<?xml version="1.0" encoding="utf-8"?><Relationships xmlns="http://schemas.openxmlformats.org/package/2006/relationships"><Relationship Type="http://schemas.openxmlformats.org/officeDocument/2006/relationships/drawing" Target="/xl/drawings/drawing2.xml" Id="R34c9d40860df4e0c" /><Relationship Type="http://schemas.openxmlformats.org/officeDocument/2006/relationships/table" Target="/xl/tables/table7.xml" Id="Rcc473e446372446f" /></Relationships>
</file>

<file path=xl/worksheets/_rels/sheet6.xml.rels>&#65279;<?xml version="1.0" encoding="utf-8"?><Relationships xmlns="http://schemas.openxmlformats.org/package/2006/relationships"><Relationship Type="http://schemas.openxmlformats.org/officeDocument/2006/relationships/table" Target="/xl/tables/table8.xml" Id="R67084d255cc74145" /></Relationships>
</file>

<file path=xl/worksheets/_rels/sheet7.xml.rels>&#65279;<?xml version="1.0" encoding="utf-8"?><Relationships xmlns="http://schemas.openxmlformats.org/package/2006/relationships"><Relationship Type="http://schemas.openxmlformats.org/officeDocument/2006/relationships/table" Target="/xl/tables/table9.xml" Id="R9edd8cd81e774346" /><Relationship Type="http://schemas.openxmlformats.org/officeDocument/2006/relationships/table" Target="/xl/tables/table10.xml" Id="R90f6bff9afde491c" /></Relationships>
</file>

<file path=xl/worksheets/_rels/sheet8.xml.rels>&#65279;<?xml version="1.0" encoding="utf-8"?><Relationships xmlns="http://schemas.openxmlformats.org/package/2006/relationships"><Relationship Type="http://schemas.openxmlformats.org/officeDocument/2006/relationships/table" Target="/xl/tables/table11.xml" Id="Rc383438726824d3f" /></Relationships>
</file>

<file path=xl/worksheets/_rels/sheet9.xml.rels>&#65279;<?xml version="1.0" encoding="utf-8"?><Relationships xmlns="http://schemas.openxmlformats.org/package/2006/relationships"><Relationship Type="http://schemas.openxmlformats.org/officeDocument/2006/relationships/table" Target="/xl/tables/table12.xml" Id="Reb006acbb0be4757" /></Relationships>
</file>

<file path=xl/worksheets/_rels/sheet10.xml.rels>&#65279;<?xml version="1.0" encoding="utf-8"?><Relationships xmlns="http://schemas.openxmlformats.org/package/2006/relationships"><Relationship Type="http://schemas.openxmlformats.org/officeDocument/2006/relationships/table" Target="/xl/tables/table13.xml" Id="R8dc69cacae6f48bf" /></Relationships>
</file>

<file path=xl/worksheets/_rels/sheet11.xml.rels>&#65279;<?xml version="1.0" encoding="utf-8"?><Relationships xmlns="http://schemas.openxmlformats.org/package/2006/relationships"><Relationship Type="http://schemas.openxmlformats.org/officeDocument/2006/relationships/table" Target="/xl/tables/table14.xml" Id="Re38b1608ed1648b0" /></Relationships>
</file>

<file path=xl/worksheets/_rels/sheet12.xml.rels>&#65279;<?xml version="1.0" encoding="utf-8"?><Relationships xmlns="http://schemas.openxmlformats.org/package/2006/relationships"><Relationship Type="http://schemas.openxmlformats.org/officeDocument/2006/relationships/table" Target="/xl/tables/table15.xml" Id="R73fdc3bad9d04316" /><Relationship Type="http://schemas.openxmlformats.org/officeDocument/2006/relationships/table" Target="/xl/tables/table16.xml" Id="Re7702d4f233546a3" /></Relationships>
</file>

<file path=xl/worksheets/_rels/sheet13.xml.rels>&#65279;<?xml version="1.0" encoding="utf-8"?><Relationships xmlns="http://schemas.openxmlformats.org/package/2006/relationships"><Relationship Type="http://schemas.openxmlformats.org/officeDocument/2006/relationships/table" Target="/xl/tables/table17.xml" Id="R48468a27f6364d18" /></Relationships>
</file>

<file path=xl/worksheets/_rels/sheet14.xml.rels>&#65279;<?xml version="1.0" encoding="utf-8"?><Relationships xmlns="http://schemas.openxmlformats.org/package/2006/relationships"><Relationship Type="http://schemas.openxmlformats.org/officeDocument/2006/relationships/table" Target="/xl/tables/table18.xml" Id="Rf1ebb906baea452a" /></Relationships>
</file>

<file path=xl/worksheets/_rels/sheet15.xml.rels>&#65279;<?xml version="1.0" encoding="utf-8"?><Relationships xmlns="http://schemas.openxmlformats.org/package/2006/relationships"><Relationship Type="http://schemas.openxmlformats.org/officeDocument/2006/relationships/table" Target="/xl/tables/table19.xml" Id="R84af357294344ea6" /></Relationships>
</file>

<file path=xl/worksheets/sheet1.xml><?xml version="1.0" encoding="utf-8"?>
<x:worksheet xmlns:x="http://schemas.openxmlformats.org/spreadsheetml/2006/main">
  <x:sheetFormatPr defaultRowHeight="15"/>
  <x:cols>
    <x:col min="1" max="1" width="25" hidden="0" customWidth="1"/>
    <x:col min="2" max="2" width="30" hidden="0" customWidth="1"/>
    <x:col min="3" max="3" width="14" hidden="0" customWidth="1"/>
    <x:col min="4" max="4" width="52" hidden="0" customWidth="1"/>
    <x:col min="6" max="6" width="24" hidden="0" customWidth="1"/>
    <x:col min="7" max="7" width="12" hidden="0" customWidth="1"/>
    <x:col min="8" max="8" width="30" hidden="0" customWidth="1"/>
    <x:col min="10" max="10" width="24" hidden="0" customWidth="1"/>
    <x:col min="11" max="11" width="12" hidden="0" customWidth="1"/>
  </x:cols>
  <x:sheetData>
    <x:row r="1" ht="34" customHeight="1">
      <x:c r="A1" s="6" t="str">
        <x:v>出会い系・マッチングアプリ会話分析　最新版レポート</x:v>
      </x:c>
      <x:c r="B1" s="6"/>
      <x:c r="C1" s="6"/>
      <x:c r="D1" s="6"/>
      <x:c r="E1" s="6"/>
      <x:c r="F1" s="6"/>
      <x:c r="G1" s="6"/>
      <x:c r="H1" s="6"/>
      <x:c r="I1" s="6"/>
      <x:c r="J1" s="6"/>
      <x:c r="K1" s="6"/>
      <x:c r="L1" s="6"/>
    </x:row>
    <x:row r="2" ht="30" customHeight="1">
      <x:c r="A2" s="16" t="str">
        <x:v>作成日 2026-08-26｜報告書ベース統合版｜最新候補ログ 2026-06-21頃（画像内に日付表示なし）</x:v>
      </x:c>
      <x:c r="B2" s="16"/>
      <x:c r="C2" s="16"/>
      <x:c r="D2" s="16"/>
      <x:c r="E2" s="16"/>
      <x:c r="F2" s="16"/>
      <x:c r="G2" s="16"/>
      <x:c r="H2" s="16"/>
      <x:c r="I2" s="16"/>
      <x:c r="J2" s="16"/>
      <x:c r="K2" s="16"/>
      <x:c r="L2" s="16"/>
    </x:row>
    <x:row r="4" ht="28" customHeight="1">
      <x:c r="A4" s="26" t="str">
        <x:v>KPI</x:v>
      </x:c>
      <x:c r="B4" s="26" t="str">
        <x:v>値</x:v>
      </x:c>
      <x:c r="C4" s="26" t="str">
        <x:v>判定</x:v>
      </x:c>
      <x:c r="D4" s="26" t="str">
        <x:v>意味</x:v>
      </x:c>
      <x:c r="F4" s="26" t="str">
        <x:v>標準化指標</x:v>
      </x:c>
      <x:c r="G4" s="26" t="str">
        <x:v>スコア/5</x:v>
      </x:c>
      <x:c r="H4" s="26" t="str">
        <x:v>読み取り</x:v>
      </x:c>
      <x:c r="J4"/>
      <x:c r="K4"/>
    </x:row>
    <x:row r="5">
      <x:c r="A5" s="36" t="str">
        <x:v>統合済み主要相手</x:v>
      </x:c>
      <x:c r="B5" s="36" t="n">
        <x:v>6</x:v>
      </x:c>
      <x:c r="C5" s="36" t="str">
        <x:v>参考値</x:v>
      </x:c>
      <x:c r="D5" s="36" t="str">
        <x:v>既存マスター5人＋みずき最新系列</x:v>
      </x:c>
      <x:c r="F5" s="36" t="str">
        <x:v>会話の自然さ</x:v>
      </x:c>
      <x:c r="G5" s="38" t="n">
        <x:v>4</x:v>
      </x:c>
      <x:c r="H5" s="36" t="str">
        <x:v>安定して高い</x:v>
      </x:c>
      <x:c r="J5"/>
      <x:c r="K5"/>
    </x:row>
    <x:row r="6">
      <x:c r="A6" s="36" t="str">
        <x:v>マスター成功パターン</x:v>
      </x:c>
      <x:c r="B6" s="36" t="n">
        <x:v>70</x:v>
      </x:c>
      <x:c r="C6" s="36" t="str">
        <x:v>要再精査</x:v>
      </x:c>
      <x:c r="D6" s="36" t="str">
        <x:v>OCR断片を含むため、全件を実成功とはみなさない</x:v>
      </x:c>
      <x:c r="F6" s="36" t="str">
        <x:v>相手への興味</x:v>
      </x:c>
      <x:c r="G6" s="38" t="n">
        <x:v>5</x:v>
      </x:c>
      <x:c r="H6" s="36" t="str">
        <x:v>非常に強い</x:v>
      </x:c>
      <x:c r="J6"/>
      <x:c r="K6"/>
    </x:row>
    <x:row r="7">
      <x:c r="A7" s="36" t="str">
        <x:v>マスター失速パターン</x:v>
      </x:c>
      <x:c r="B7" s="36" t="n">
        <x:v>56</x:v>
      </x:c>
      <x:c r="C7" s="36" t="str">
        <x:v>要再精査</x:v>
      </x:c>
      <x:c r="D7" s="36" t="str">
        <x:v>質問過多・論点過多が中心</x:v>
      </x:c>
      <x:c r="F7" s="36" t="str">
        <x:v>自己開示</x:v>
      </x:c>
      <x:c r="G7" s="38" t="n">
        <x:v>4</x:v>
      </x:c>
      <x:c r="H7" s="36" t="str">
        <x:v>十分だが長文化に注意</x:v>
      </x:c>
      <x:c r="J7"/>
      <x:c r="K7"/>
    </x:row>
    <x:row r="8">
      <x:c r="A8" s="36" t="str">
        <x:v>標準化済み平均総合評価</x:v>
      </x:c>
      <x:c r="B8" s="36" t="n">
        <x:v>4.2</x:v>
      </x:c>
      <x:c r="C8" s="36" t="str">
        <x:v>高</x:v>
      </x:c>
      <x:c r="D8" s="36" t="str">
        <x:v>既存5人分の平均</x:v>
      </x:c>
      <x:c r="F8" s="36" t="str">
        <x:v>共感力</x:v>
      </x:c>
      <x:c r="G8" s="38" t="n">
        <x:v>4.6</x:v>
      </x:c>
      <x:c r="H8" s="36" t="str">
        <x:v>主要な強み</x:v>
      </x:c>
      <x:c r="J8"/>
      <x:c r="K8"/>
    </x:row>
    <x:row r="9">
      <x:c r="A9" s="36" t="str">
        <x:v>標準化済み平均誘導力</x:v>
      </x:c>
      <x:c r="B9" s="36" t="n">
        <x:v>4.6</x:v>
      </x:c>
      <x:c r="C9" s="36" t="str">
        <x:v>強み</x:v>
      </x:c>
      <x:c r="D9" s="36" t="str">
        <x:v>通話・日程・店決めへの前進力</x:v>
      </x:c>
      <x:c r="F9" s="36" t="str">
        <x:v>ユーモア</x:v>
      </x:c>
      <x:c r="G9" s="38" t="n">
        <x:v>4</x:v>
      </x:c>
      <x:c r="H9" s="36" t="str">
        <x:v>電話・対面で有効</x:v>
      </x:c>
      <x:c r="J9"/>
      <x:c r="K9"/>
    </x:row>
    <x:row r="10">
      <x:c r="A10" s="36" t="str">
        <x:v>最重要改善</x:v>
      </x:c>
      <x:c r="B10" s="36" t="str">
        <x:v>1メッセージ1テーマ</x:v>
      </x:c>
      <x:c r="C10" s="36" t="str">
        <x:v>最優先</x:v>
      </x:c>
      <x:c r="D10" s="36" t="str">
        <x:v>質問は基本1個。予定調整と雑談を分ける</x:v>
      </x:c>
      <x:c r="F10" s="36" t="str">
        <x:v>誘導力</x:v>
      </x:c>
      <x:c r="G10" s="38" t="n">
        <x:v>4.6</x:v>
      </x:c>
      <x:c r="H10" s="36" t="str">
        <x:v>主要な強み</x:v>
      </x:c>
      <x:c r="J10"/>
      <x:c r="K10"/>
    </x:row>
    <x:row r="11">
      <x:c r="A11" s="36" t="str">
        <x:v>現時点の会話タイプ</x:v>
      </x:c>
      <x:c r="B11" s="36" t="str">
        <x:v>具体共感型・安心感ベースの前進ドライブ型</x:v>
      </x:c>
      <x:c r="C11" s="36" t="str">
        <x:v>最新版</x:v>
      </x:c>
      <x:c r="D11" s="36" t="str">
        <x:v>具体名と共同計画で強い</x:v>
      </x:c>
      <x:c r="F11" s="36" t="str">
        <x:v>安心感</x:v>
      </x:c>
      <x:c r="G11" s="38" t="n">
        <x:v>4</x:v>
      </x:c>
      <x:c r="H11" s="36" t="str">
        <x:v>継続関係に強い</x:v>
      </x:c>
      <x:c r="J11"/>
      <x:c r="K11"/>
    </x:row>
    <x:row r="12">
      <x:c r="A12" s="36" t="str">
        <x:v>データ品質</x:v>
      </x:c>
      <x:c r="B12" s="36" t="str">
        <x:v>中〜高</x:v>
      </x:c>
      <x:c r="C12" s="36" t="str">
        <x:v>注意あり</x:v>
      </x:c>
      <x:c r="D12" s="36" t="str">
        <x:v>音声ASR・OCR断片・未入力ログに制約</x:v>
      </x:c>
      <x:c r="F12" s="36" t="str">
        <x:v>恋愛関心の引き出し</x:v>
      </x:c>
      <x:c r="G12" s="38" t="n">
        <x:v>4.8</x:v>
      </x:c>
      <x:c r="H12" s="36" t="str">
        <x:v>前向き相手で高い</x:v>
      </x:c>
      <x:c r="J12"/>
      <x:c r="K12"/>
    </x:row>
    <x:row r="13">
      <x:c r="F13" s="36" t="str">
        <x:v>会う意欲</x:v>
      </x:c>
      <x:c r="G13" s="38" t="n">
        <x:v>3.8</x:v>
      </x:c>
      <x:c r="H13" s="36" t="str">
        <x:v>相手差あり</x:v>
      </x:c>
      <x:c r="J13"/>
      <x:c r="K13"/>
    </x:row>
    <x:row r="14">
      <x:c r="F14" s="36" t="str">
        <x:v>電話意欲</x:v>
      </x:c>
      <x:c r="G14" s="38" t="n">
        <x:v>3.2</x:v>
      </x:c>
      <x:c r="H14" s="36" t="str">
        <x:v>慎重型では弱い</x:v>
      </x:c>
      <x:c r="J14"/>
      <x:c r="K14"/>
    </x:row>
  </x:sheetData>
  <x:mergeCells>
    <x:mergeCell ref="A1:L1"/>
    <x:mergeCell ref="A2:L2"/>
  </x:mergeCells>
  <x:conditionalFormatting sqref="G5:G14">
    <x:cfRule type="colorScale" priority="1">
      <x:colorScale>
        <x:cfvo type="min"/>
        <x:cfvo type="percentile" val="50"/>
        <x:cfvo type="max"/>
        <x:color rgb="FFFDECEC"/>
        <x:color rgb="FFFFF7E6"/>
        <x:color rgb="FFEAF7F1"/>
      </x:colorScale>
    </x:cfRule>
  </x:conditionalFormatting>
  <x:pageMargins left="0.7" right="0.7" top="0.75" bottom="0.75" header="0.3" footer="0.3"/>
  <x:drawing xmlns:r="http://schemas.openxmlformats.org/officeDocument/2006/relationships" r:id="R1b352f8fe7b0463f"/>
  <x:tableParts count="2">
    <x:tablePart xmlns:r="http://schemas.openxmlformats.org/officeDocument/2006/relationships" r:id="R67b83003589b4614"/>
    <x:tablePart xmlns:r="http://schemas.openxmlformats.org/officeDocument/2006/relationships" r:id="Rc591621b8b4f4f72"/>
  </x:tableParts>
</x:worksheet>
</file>

<file path=xl/worksheets/sheet2.xml><?xml version="1.0" encoding="utf-8"?>
<x:worksheet xmlns:x="http://schemas.openxmlformats.org/spreadsheetml/2006/main">
  <x:sheetFormatPr defaultRowHeight="15"/>
  <x:cols>
    <x:col min="1" max="1" width="22" hidden="0" customWidth="1"/>
    <x:col min="2" max="2" width="78" hidden="0" customWidth="1"/>
    <x:col min="3" max="3" width="14" hidden="0" customWidth="1"/>
    <x:col min="4" max="4" width="42" hidden="0" customWidth="1"/>
  </x:cols>
  <x:sheetData>
    <x:row r="1" ht="34" customHeight="1">
      <x:c r="A1" s="6" t="str">
        <x:v>エグゼクティブサマリー</x:v>
      </x:c>
      <x:c r="B1" s="6"/>
      <x:c r="C1" s="6"/>
      <x:c r="D1" s="6"/>
    </x:row>
    <x:row r="2" ht="30" customHeight="1">
      <x:c r="A2" s="16" t="str">
        <x:v>最終結論、最新版への更新点、強み・弱み・運用上の注意を1枚で確認</x:v>
      </x:c>
      <x:c r="B2" s="16"/>
      <x:c r="C2" s="16"/>
      <x:c r="D2" s="16"/>
    </x:row>
    <x:row r="4" ht="28" customHeight="1">
      <x:c r="A4" s="26" t="str">
        <x:v>項目</x:v>
      </x:c>
      <x:c r="B4" s="26" t="str">
        <x:v>最新版の内容</x:v>
      </x:c>
      <x:c r="C4" s="26" t="str">
        <x:v>確信度</x:v>
      </x:c>
      <x:c r="D4" s="26" t="str">
        <x:v>主な根拠</x:v>
      </x:c>
    </x:row>
    <x:row r="5">
      <x:c r="A5" s="36" t="str">
        <x:v>総合結論</x:v>
      </x:c>
      <x:c r="B5" s="36" t="str">
        <x:v>あなたの勝ち筋は、相手の発言から具体名を1つ拾い、短い自己開示を添え、質問を1個だけ置き、反応が良ければ同じ話題に半歩留まってから低圧に次の行動へつなげること。</x:v>
      </x:c>
      <x:c r="C5" s="36" t="str">
        <x:v>高</x:v>
      </x:c>
      <x:c r="D5" s="36" t="str">
        <x:v>既存5人・電話・対面・最新みずき系列で共通</x:v>
      </x:c>
    </x:row>
    <x:row r="6">
      <x:c r="A6" s="36" t="str">
        <x:v>最も強い話題</x:v>
      </x:c>
      <x:c r="B6" s="36" t="str">
        <x:v>食事・店・カフェ、旅行・場所・景色、相手が熱量を持つ趣味、休日・生活圏・移動。</x:v>
      </x:c>
      <x:c r="C6" s="36" t="str">
        <x:v>高</x:v>
      </x:c>
      <x:c r="D6" s="36" t="str">
        <x:v>複数相手・複数媒体で再現</x:v>
      </x:c>
    </x:row>
    <x:row r="7">
      <x:c r="A7" s="36" t="str">
        <x:v>最新の上方修正</x:v>
      </x:c>
      <x:c r="B7" s="36" t="str">
        <x:v>みずきとの最新系列では、共同で行き先を考える、天気を見ながら調整する、軽くいじり合う、相手が候補提示を期待する流れが確認できる。</x:v>
      </x:c>
      <x:c r="C7" s="36" t="str">
        <x:v>中〜高</x:v>
      </x:c>
      <x:c r="D7" s="36" t="str">
        <x:v>最新候補スクリーンショット群</x:v>
      </x:c>
    </x:row>
    <x:row r="8">
      <x:c r="A8" s="36" t="str">
        <x:v>最大の失速要因</x:v>
      </x:c>
      <x:c r="B8" s="36" t="str">
        <x:v>盛り上がるほど、質問・説明・褒め・予定調整を同じターンに詰めること。会話は続いても相手が回答役になり、温度上昇が止まりやすい。</x:v>
      </x:c>
      <x:c r="C8" s="36" t="str">
        <x:v>高</x:v>
      </x:c>
      <x:c r="D8" s="36" t="str">
        <x:v>まどか・ともこ評価、マスター改善課題</x:v>
      </x:c>
    </x:row>
    <x:row r="9">
      <x:c r="A9" s="36" t="str">
        <x:v>会話の改善方針</x:v>
      </x:c>
      <x:c r="B9" s="36" t="str">
        <x:v>1メッセージ1テーマ、質問1個、候補2つまで、褒めは観察事実、相手が疲れている時は共感を先にする。</x:v>
      </x:c>
      <x:c r="C9" s="36" t="str">
        <x:v>高</x:v>
      </x:c>
      <x:c r="D9" s="36" t="str">
        <x:v>返信ルールR01〜R10</x:v>
      </x:c>
    </x:row>
    <x:row r="10">
      <x:c r="A10" s="36" t="str">
        <x:v>チャットの勝ち筋</x:v>
      </x:c>
      <x:c r="B10" s="36" t="str">
        <x:v>具体名→自分の一言→質問1個。文量・質問返し・具体名の増加を温度指標にし、温度が上がった時だけ一段前へ。</x:v>
      </x:c>
      <x:c r="C10" s="36" t="str">
        <x:v>高</x:v>
      </x:c>
      <x:c r="D10" s="36" t="str">
        <x:v>アプリ会話評価</x:v>
      </x:c>
    </x:row>
    <x:row r="11">
      <x:c r="A11" s="36" t="str">
        <x:v>電話の勝ち筋</x:v>
      </x:c>
      <x:c r="B11" s="36" t="str">
        <x:v>要約返し・安心感・価値観の一段深掘り・軽いユーモア。『なぜ』を連打せず、自分の話を短く挟む。</x:v>
      </x:c>
      <x:c r="C11" s="36" t="str">
        <x:v>中〜高</x:v>
      </x:c>
      <x:c r="D11" s="36" t="str">
        <x:v>電話報告書群・マスター</x:v>
      </x:c>
    </x:row>
    <x:row r="12">
      <x:c r="A12" s="36" t="str">
        <x:v>対面の勝ち筋</x:v>
      </x:c>
      <x:c r="B12" s="36" t="str">
        <x:v>注文・店・移動・行き先を一緒に決める共同作業。食の反応、場所、生活圏、軽い掛け合いが自然。</x:v>
      </x:c>
      <x:c r="C12" s="36" t="str">
        <x:v>高</x:v>
      </x:c>
      <x:c r="D12" s="36" t="str">
        <x:v>2026-05-10みずき現地音声</x:v>
      </x:c>
    </x:row>
    <x:row r="13">
      <x:c r="A13" s="36" t="str">
        <x:v>脈あり判定の注意</x:v>
      </x:c>
      <x:c r="B13" s="36" t="str">
        <x:v>会話が長いことと恋愛的前進は別。質問返し・具体提案・代替案・次回接点・相手発の予定調整を優先して判定する。</x:v>
      </x:c>
      <x:c r="C13" s="36" t="str">
        <x:v>高</x:v>
      </x:c>
      <x:c r="D13" s="36" t="str">
        <x:v>Codex評価方針</x:v>
      </x:c>
    </x:row>
    <x:row r="14">
      <x:c r="A14" s="36" t="str">
        <x:v>データ上の留保</x:v>
      </x:c>
      <x:c r="B14" s="36" t="str">
        <x:v>v3の日次返信ログと返信案出力ログは未入力。音声は話者分離なし。既存の成功/失速一覧にはOCR断片が多く、原文対反応の再照合が必要。</x:v>
      </x:c>
      <x:c r="C14" s="36" t="str">
        <x:v>高</x:v>
      </x:c>
      <x:c r="D14" s="36" t="str">
        <x:v>v3構造・音声注意事項</x:v>
      </x:c>
    </x:row>
  </x:sheetData>
  <x:mergeCells>
    <x:mergeCell ref="A1:D1"/>
    <x:mergeCell ref="A2:D2"/>
  </x:mergeCells>
  <x:pageMargins left="0.7" right="0.7" top="0.75" bottom="0.75" header="0.3" footer="0.3"/>
  <x:tableParts count="1">
    <x:tablePart xmlns:r="http://schemas.openxmlformats.org/officeDocument/2006/relationships" r:id="R0f8a8c289afb45d9"/>
  </x:tableParts>
</x:worksheet>
</file>

<file path=xl/worksheets/sheet3.xml><?xml version="1.0" encoding="utf-8"?>
<x:worksheet xmlns:x="http://schemas.openxmlformats.org/spreadsheetml/2006/main">
  <x:sheetFormatPr defaultRowHeight="15"/>
  <x:cols>
    <x:col min="1" max="1" width="12" hidden="0" customWidth="1"/>
    <x:col min="2" max="2" width="52" hidden="0" customWidth="1"/>
    <x:col min="3" max="3" width="18" hidden="0" customWidth="1"/>
    <x:col min="4" max="4" width="60" hidden="0" customWidth="1"/>
    <x:col min="5" max="5" width="14" hidden="0" customWidth="1"/>
    <x:col min="6" max="6" width="52" hidden="0" customWidth="1"/>
  </x:cols>
  <x:sheetData>
    <x:row r="1" ht="34" customHeight="1">
      <x:c r="A1" s="6" t="str">
        <x:v>分析対象・出典・信頼度</x:v>
      </x:c>
      <x:c r="B1" s="6"/>
      <x:c r="C1" s="6"/>
      <x:c r="D1" s="6"/>
      <x:c r="E1" s="6"/>
      <x:c r="F1" s="6"/>
    </x:row>
    <x:row r="2" ht="30" customHeight="1">
      <x:c r="A2" s="16" t="str">
        <x:v>確認済み資料と、事実・解釈・仮説の境界を明示</x:v>
      </x:c>
      <x:c r="B2" s="16"/>
      <x:c r="C2" s="16"/>
      <x:c r="D2" s="16"/>
      <x:c r="E2" s="16"/>
      <x:c r="F2" s="16"/>
    </x:row>
    <x:row r="4" ht="28" customHeight="1">
      <x:c r="A4" s="26" t="str">
        <x:v>ID</x:v>
      </x:c>
      <x:c r="B4" s="26" t="str">
        <x:v>資料</x:v>
      </x:c>
      <x:c r="C4" s="26" t="str">
        <x:v>対象日/作成日</x:v>
      </x:c>
      <x:c r="D4" s="26" t="str">
        <x:v>主な用途</x:v>
      </x:c>
      <x:c r="E4" s="26" t="str">
        <x:v>信頼度</x:v>
      </x:c>
      <x:c r="F4" s="26" t="str">
        <x:v>注意</x:v>
      </x:c>
    </x:row>
    <x:row r="5">
      <x:c r="A5" s="36" t="str">
        <x:v>SRC-001</x:v>
      </x:c>
      <x:c r="B5" s="36" t="str">
        <x:v>出会い系チャット自己改善_マスタープロジェクト_v3.xlsx</x:v>
      </x:c>
      <x:c r="C5" s="36" t="str">
        <x:v>2026-05-02</x:v>
      </x:c>
      <x:c r="D5" s="36" t="str">
        <x:v>既存5人、112画像、7音声、長所・改善・成功/失速・返信ルール</x:v>
      </x:c>
      <x:c r="E5" s="36" t="str">
        <x:v>中〜高</x:v>
      </x:c>
      <x:c r="F5" s="36" t="str">
        <x:v>正本に近いが日次ログが未入力。OCR断片を含む</x:v>
      </x:c>
    </x:row>
    <x:row r="6">
      <x:c r="A6" s="36" t="str">
        <x:v>SRC-002</x:v>
      </x:c>
      <x:c r="B6" s="36" t="str">
        <x:v>generate_chat_evaluation.py</x:v>
      </x:c>
      <x:c r="C6" s="36" t="str">
        <x:v>2026-04頃</x:v>
      </x:c>
      <x:c r="D6" s="36" t="str">
        <x:v>まどか・ともこの発言単位評価、刺さった/影響薄いの根拠</x:v>
      </x:c>
      <x:c r="E6" s="36" t="str">
        <x:v>高</x:v>
      </x:c>
      <x:c r="F6" s="36" t="str">
        <x:v>相手返信と前進結果が明示された箇所を優先</x:v>
      </x:c>
    </x:row>
    <x:row r="7">
      <x:c r="A7" s="36" t="str">
        <x:v>SRC-003</x:v>
      </x:c>
      <x:c r="B7" s="36" t="str">
        <x:v>260510_みずき_現地音声_AGENTS分析.json</x:v>
      </x:c>
      <x:c r="C7" s="36" t="str">
        <x:v>2026-05-10</x:v>
      </x:c>
      <x:c r="D7" s="36" t="str">
        <x:v>対面デートの話題、感情反応、成功・リスク、次回話題</x:v>
      </x:c>
      <x:c r="E7" s="36" t="str">
        <x:v>中〜高</x:v>
      </x:c>
      <x:c r="F7" s="36" t="str">
        <x:v>音声ASR。話者分離なし</x:v>
      </x:c>
    </x:row>
    <x:row r="8">
      <x:c r="A8" s="36" t="str">
        <x:v>SRC-004</x:v>
      </x:c>
      <x:c r="B8" s="36" t="str">
        <x:v>260510_みずき_現地音声_詳細抽出.html</x:v>
      </x:c>
      <x:c r="C8" s="36" t="str">
        <x:v>2026-05-10</x:v>
      </x:c>
      <x:c r="D8" s="36" t="str">
        <x:v>39事実候補、10人物像、8振る舞い方針、28時系列根拠</x:v>
      </x:c>
      <x:c r="E8" s="36" t="str">
        <x:v>中</x:v>
      </x:c>
      <x:c r="F8" s="36" t="str">
        <x:v>低確度情報も含むため断定禁止</x:v>
      </x:c>
    </x:row>
    <x:row r="9">
      <x:c r="A9" s="36" t="str">
        <x:v>SRC-005</x:v>
      </x:c>
      <x:c r="B9" s="36" t="str">
        <x:v>1000014200 / 4202 / 4212 / 4214.png</x:v>
      </x:c>
      <x:c r="C9" s="36" t="str">
        <x:v>2026-06頃</x:v>
      </x:c>
      <x:c r="D9" s="36" t="str">
        <x:v>みずきとの共同計画、天気、カフェ、行き先、軽い掛け合い</x:v>
      </x:c>
      <x:c r="E9" s="36" t="str">
        <x:v>中〜高</x:v>
      </x:c>
      <x:c r="F9" s="36" t="str">
        <x:v>画像内日付が見えないため最新候補として扱う</x:v>
      </x:c>
    </x:row>
    <x:row r="10">
      <x:c r="A10" s="36" t="str">
        <x:v>SRC-006</x:v>
      </x:c>
      <x:c r="B10" s="36" t="str">
        <x:v>Codex_出会い系チャット自己改善プロジェクト_完成指示書.md</x:v>
      </x:c>
      <x:c r="C10" s="36" t="str">
        <x:v>2026-05</x:v>
      </x:c>
      <x:c r="D10" s="36" t="str">
        <x:v>成功定義、入力形式、更新ルール、出力構造</x:v>
      </x:c>
      <x:c r="E10" s="36" t="str">
        <x:v>高</x:v>
      </x:c>
      <x:c r="F10" s="36" t="str">
        <x:v>実装・運用仕様の基礎</x:v>
      </x:c>
    </x:row>
    <x:row r="11">
      <x:c r="A11" s="36" t="str">
        <x:v>SRC-007</x:v>
      </x:c>
      <x:c r="B11" s="36" t="str">
        <x:v>ChatGPT参照用_出会い系チャットマスター_v3.md</x:v>
      </x:c>
      <x:c r="C11" s="36" t="str">
        <x:v>2026-05-02</x:v>
      </x:c>
      <x:c r="D11" s="36" t="str">
        <x:v>日次返信作成ルールと現行プロファイル</x:v>
      </x:c>
      <x:c r="E11" s="36" t="str">
        <x:v>高</x:v>
      </x:c>
      <x:c r="F11" s="36" t="str">
        <x:v>v3の要約版</x:v>
      </x:c>
    </x:row>
    <x:row r="14" ht="26" customHeight="1">
      <x:c r="A14" s="44" t="str">
        <x:v>データ種別</x:v>
      </x:c>
      <x:c r="B14" s="44" t="str">
        <x:v>判定方法</x:v>
      </x:c>
      <x:c r="C14" s="44" t="str">
        <x:v>信頼度</x:v>
      </x:c>
      <x:c r="D14" s="44" t="str">
        <x:v>扱い</x:v>
      </x:c>
    </x:row>
    <x:row r="15">
      <x:c r="A15" s="36" t="str">
        <x:v>報告書による確認</x:v>
      </x:c>
      <x:c r="B15" s="36" t="str">
        <x:v>複数の統合報告書で繰り返される傾向</x:v>
      </x:c>
      <x:c r="C15" s="36" t="str">
        <x:v>高</x:v>
      </x:c>
      <x:c r="D15" s="36" t="str">
        <x:v>具体名・前進力・質問過多</x:v>
      </x:c>
    </x:row>
    <x:row r="16">
      <x:c r="A16" s="36" t="str">
        <x:v>相手反応による確認</x:v>
      </x:c>
      <x:c r="B16" s="36" t="str">
        <x:v>質問返し、自己開示、予定提示、次回提案</x:v>
      </x:c>
      <x:c r="C16" s="36" t="str">
        <x:v>高</x:v>
      </x:c>
      <x:c r="D16" s="36" t="str">
        <x:v>成功判定の優先根拠</x:v>
      </x:c>
    </x:row>
    <x:row r="17">
      <x:c r="A17" s="36" t="str">
        <x:v>音声ASR</x:v>
      </x:c>
      <x:c r="B17" s="36" t="str">
        <x:v>話者分離なし・環境音あり</x:v>
      </x:c>
      <x:c r="C17" s="36" t="str">
        <x:v>中〜低</x:v>
      </x:c>
      <x:c r="D17" s="36" t="str">
        <x:v>個人情報や発言者は断定しない</x:v>
      </x:c>
    </x:row>
    <x:row r="18">
      <x:c r="A18" s="36" t="str">
        <x:v>OCR断片</x:v>
      </x:c>
      <x:c r="B18" s="36" t="str">
        <x:v>プロフィール文や短い断片が成功/失速として混入</x:v>
      </x:c>
      <x:c r="C18" s="36" t="str">
        <x:v>低</x:v>
      </x:c>
      <x:c r="D18" s="36" t="str">
        <x:v>原文と直後反応の再照合が必要</x:v>
      </x:c>
    </x:row>
    <x:row r="19">
      <x:c r="A19" s="36" t="str">
        <x:v>最新ログ網羅性</x:v>
      </x:c>
      <x:c r="B19" s="36" t="str">
        <x:v>6月以降の全ログが揃っているとは限らない</x:v>
      </x:c>
      <x:c r="C19" s="36" t="str">
        <x:v>中</x:v>
      </x:c>
      <x:c r="D19" s="36" t="str">
        <x:v>確認できた報告書・最新候補画像ベース</x:v>
      </x:c>
    </x:row>
  </x:sheetData>
  <x:mergeCells>
    <x:mergeCell ref="A1:F1"/>
    <x:mergeCell ref="A2:F2"/>
  </x:mergeCells>
  <x:pageMargins left="0.7" right="0.7" top="0.75" bottom="0.75" header="0.3" footer="0.3"/>
  <x:tableParts count="2">
    <x:tablePart xmlns:r="http://schemas.openxmlformats.org/officeDocument/2006/relationships" r:id="R87841d1998cd4800"/>
    <x:tablePart xmlns:r="http://schemas.openxmlformats.org/officeDocument/2006/relationships" r:id="Re6e495cac49c4ef8"/>
  </x:tableParts>
</x:worksheet>
</file>

<file path=xl/worksheets/sheet4.xml><?xml version="1.0" encoding="utf-8"?>
<x:worksheet xmlns:x="http://schemas.openxmlformats.org/spreadsheetml/2006/main">
  <x:sheetFormatPr defaultRowHeight="15"/>
  <x:cols>
    <x:col min="1" max="1" width="24" hidden="0" customWidth="1"/>
    <x:col min="2" max="2" width="12" hidden="0" customWidth="1"/>
    <x:col min="3" max="3" width="34" hidden="0" customWidth="1"/>
    <x:col min="4" max="4" width="54" hidden="0" customWidth="1"/>
    <x:col min="5" max="5" width="14" hidden="0" customWidth="1"/>
    <x:col min="6" max="6" width="36" hidden="0" customWidth="1"/>
  </x:cols>
  <x:sheetData>
    <x:row r="1" ht="34" customHeight="1">
      <x:c r="A1" s="6" t="str">
        <x:v>最新コミュニケーションプロファイル</x:v>
      </x:c>
      <x:c r="B1" s="6"/>
      <x:c r="C1" s="6"/>
      <x:c r="D1" s="6"/>
      <x:c r="E1" s="6"/>
      <x:c r="F1" s="6"/>
    </x:row>
    <x:row r="2" ht="30" customHeight="1">
      <x:c r="A2" s="16" t="str">
        <x:v>既存5人の標準化スコアに、みずき現地・最新候補ログの質的更新を追加</x:v>
      </x:c>
      <x:c r="B2" s="16"/>
      <x:c r="C2" s="16"/>
      <x:c r="D2" s="16"/>
      <x:c r="E2" s="16"/>
      <x:c r="F2" s="16"/>
    </x:row>
    <x:row r="4" ht="28" customHeight="1">
      <x:c r="A4" s="26" t="str">
        <x:v>項目</x:v>
      </x:c>
      <x:c r="B4" s="26" t="str">
        <x:v>スコア/5</x:v>
      </x:c>
      <x:c r="C4" s="26" t="str">
        <x:v>現状</x:v>
      </x:c>
      <x:c r="D4" s="26" t="str">
        <x:v>根拠</x:v>
      </x:c>
      <x:c r="E4" s="26" t="str">
        <x:v>確信度</x:v>
      </x:c>
      <x:c r="F4" s="26" t="str">
        <x:v>次の改善</x:v>
      </x:c>
    </x:row>
    <x:row r="5">
      <x:c r="A5" s="36" t="str">
        <x:v>会話タイプ</x:v>
      </x:c>
      <x:c r="B5" s="38"/>
      <x:c r="C5" s="36" t="str">
        <x:v>具体共感型・安心感ベースの前進ドライブ型</x:v>
      </x:c>
      <x:c r="D5" s="36" t="str">
        <x:v>具体名と次行動への接続が強い</x:v>
      </x:c>
      <x:c r="E5" s="36" t="str">
        <x:v>高</x:v>
      </x:c>
      <x:c r="F5" s="36" t="str">
        <x:v>維持</x:v>
      </x:c>
    </x:row>
    <x:row r="6">
      <x:c r="A6" s="36" t="str">
        <x:v>会話の自然さ</x:v>
      </x:c>
      <x:c r="B6" s="38" t="n">
        <x:v>4</x:v>
      </x:c>
      <x:c r="C6" s="36" t="str">
        <x:v>安定して高い</x:v>
      </x:c>
      <x:c r="D6" s="36" t="str">
        <x:v>共通話題と具体化で自然に続く</x:v>
      </x:c>
      <x:c r="E6" s="36" t="str">
        <x:v>高</x:v>
      </x:c>
      <x:c r="F6" s="36" t="str">
        <x:v>余白を増やす</x:v>
      </x:c>
    </x:row>
    <x:row r="7">
      <x:c r="A7" s="36" t="str">
        <x:v>相手への興味</x:v>
      </x:c>
      <x:c r="B7" s="38" t="n">
        <x:v>5</x:v>
      </x:c>
      <x:c r="C7" s="36" t="str">
        <x:v>非常に強い</x:v>
      </x:c>
      <x:c r="D7" s="36" t="str">
        <x:v>質問・深掘り・相手別話題選定</x:v>
      </x:c>
      <x:c r="E7" s="36" t="str">
        <x:v>高</x:v>
      </x:c>
      <x:c r="F7" s="36" t="str">
        <x:v>質問数を減らす</x:v>
      </x:c>
    </x:row>
    <x:row r="8">
      <x:c r="A8" s="36" t="str">
        <x:v>自己開示</x:v>
      </x:c>
      <x:c r="B8" s="38" t="n">
        <x:v>4</x:v>
      </x:c>
      <x:c r="C8" s="36" t="str">
        <x:v>十分</x:v>
      </x:c>
      <x:c r="D8" s="36" t="str">
        <x:v>旅行・仕事・生活の話を返せる</x:v>
      </x:c>
      <x:c r="E8" s="36" t="str">
        <x:v>高</x:v>
      </x:c>
      <x:c r="F8" s="36" t="str">
        <x:v>1文に圧縮</x:v>
      </x:c>
    </x:row>
    <x:row r="9">
      <x:c r="A9" s="36" t="str">
        <x:v>共感力</x:v>
      </x:c>
      <x:c r="B9" s="38" t="n">
        <x:v>4.6</x:v>
      </x:c>
      <x:c r="C9" s="36" t="str">
        <x:v>主要な強み</x:v>
      </x:c>
      <x:c r="D9" s="36" t="str">
        <x:v>話しやすさと安心感を作る</x:v>
      </x:c>
      <x:c r="E9" s="36" t="str">
        <x:v>高</x:v>
      </x:c>
      <x:c r="F9" s="36" t="str">
        <x:v>要約返しを増やす</x:v>
      </x:c>
    </x:row>
    <x:row r="10">
      <x:c r="A10" s="36" t="str">
        <x:v>ユーモア</x:v>
      </x:c>
      <x:c r="B10" s="38" t="n">
        <x:v>4</x:v>
      </x:c>
      <x:c r="C10" s="36" t="str">
        <x:v>電話・対面で有効</x:v>
      </x:c>
      <x:c r="D10" s="36" t="str">
        <x:v>方言・キャラ・軽い自虐</x:v>
      </x:c>
      <x:c r="E10" s="36" t="str">
        <x:v>中〜高</x:v>
      </x:c>
      <x:c r="F10" s="36" t="str">
        <x:v>相手が笑う時だけ</x:v>
      </x:c>
    </x:row>
    <x:row r="11">
      <x:c r="A11" s="36" t="str">
        <x:v>誘導力</x:v>
      </x:c>
      <x:c r="B11" s="38" t="n">
        <x:v>4.6</x:v>
      </x:c>
      <x:c r="C11" s="36" t="str">
        <x:v>主要な強み</x:v>
      </x:c>
      <x:c r="D11" s="36" t="str">
        <x:v>通話、店、日程、食後移動</x:v>
      </x:c>
      <x:c r="E11" s="36" t="str">
        <x:v>高</x:v>
      </x:c>
      <x:c r="F11" s="36" t="str">
        <x:v>一度に一段だけ</x:v>
      </x:c>
    </x:row>
    <x:row r="12">
      <x:c r="A12" s="36" t="str">
        <x:v>安心感</x:v>
      </x:c>
      <x:c r="B12" s="38" t="n">
        <x:v>4</x:v>
      </x:c>
      <x:c r="C12" s="36" t="str">
        <x:v>継続関係に強い</x:v>
      </x:c>
      <x:c r="D12" s="36" t="str">
        <x:v>丁寧・低圧・相手を急かさない</x:v>
      </x:c>
      <x:c r="E12" s="36" t="str">
        <x:v>高</x:v>
      </x:c>
      <x:c r="F12" s="36" t="str">
        <x:v>無難化を防ぐ</x:v>
      </x:c>
    </x:row>
    <x:row r="13">
      <x:c r="A13" s="36" t="str">
        <x:v>恋愛感の明示</x:v>
      </x:c>
      <x:c r="B13" s="38" t="n">
        <x:v>3.6</x:v>
      </x:c>
      <x:c r="C13" s="36" t="str">
        <x:v>改善余地</x:v>
      </x:c>
      <x:c r="D13" s="36" t="str">
        <x:v>楽しい・また話したいは言える</x:v>
      </x:c>
      <x:c r="E13" s="36" t="str">
        <x:v>中</x:v>
      </x:c>
      <x:c r="F13" s="36" t="str">
        <x:v>短い好意と理由を追加</x:v>
      </x:c>
    </x:row>
    <x:row r="14">
      <x:c r="A14" s="36" t="str">
        <x:v>密度コントロール</x:v>
      </x:c>
      <x:c r="B14" s="38" t="n">
        <x:v>2.8</x:v>
      </x:c>
      <x:c r="C14" s="36" t="str">
        <x:v>最大の弱点</x:v>
      </x:c>
      <x:c r="D14" s="36" t="str">
        <x:v>質問・褒め・予定・説明を詰めがち</x:v>
      </x:c>
      <x:c r="E14" s="36" t="str">
        <x:v>高</x:v>
      </x:c>
      <x:c r="F14" s="36" t="str">
        <x:v>送信前に半分へ削る</x:v>
      </x:c>
    </x:row>
    <x:row r="15">
      <x:c r="A15" s="36" t="str">
        <x:v>主体性</x:v>
      </x:c>
      <x:c r="B15" s="38" t="n">
        <x:v>3.5</x:v>
      </x:c>
      <x:c r="C15" s="36" t="str">
        <x:v>相手に合わせすぎる場面あり</x:v>
      </x:c>
      <x:c r="D15" s="36" t="str">
        <x:v>候補提示と自分の希望は出せる</x:v>
      </x:c>
      <x:c r="E15" s="36" t="str">
        <x:v>中</x:v>
      </x:c>
      <x:c r="F15" s="36" t="str">
        <x:v>自分の第一希望を先に</x:v>
      </x:c>
    </x:row>
  </x:sheetData>
  <x:mergeCells>
    <x:mergeCell ref="A1:F1"/>
    <x:mergeCell ref="A2:F2"/>
  </x:mergeCells>
  <x:conditionalFormatting sqref="B5:B15">
    <x:cfRule type="colorScale" priority="1">
      <x:colorScale>
        <x:cfvo type="min"/>
        <x:cfvo type="percentile" val="50"/>
        <x:cfvo type="max"/>
        <x:color rgb="FFFDECEC"/>
        <x:color rgb="FFFFF7E6"/>
        <x:color rgb="FFEAF7F1"/>
      </x:colorScale>
    </x:cfRule>
  </x:conditionalFormatting>
  <x:pageMargins left="0.7" right="0.7" top="0.75" bottom="0.75" header="0.3" footer="0.3"/>
  <x:tableParts count="1">
    <x:tablePart xmlns:r="http://schemas.openxmlformats.org/officeDocument/2006/relationships" r:id="R5fd6cfaa5c5c444a"/>
  </x:tableParts>
</x:worksheet>
</file>

<file path=xl/worksheets/sheet5.xml><?xml version="1.0" encoding="utf-8"?>
<x:worksheet xmlns:x="http://schemas.openxmlformats.org/spreadsheetml/2006/main">
  <x:sheetFormatPr defaultRowHeight="15"/>
  <x:cols>
    <x:col min="1" max="1" width="28" hidden="0" customWidth="1"/>
    <x:col min="2" max="2" width="11" hidden="0" customWidth="1"/>
    <x:col min="3" max="3" width="11" hidden="0" customWidth="1"/>
    <x:col min="4" max="4" width="11" hidden="0" customWidth="1"/>
    <x:col min="5" max="5" width="10" hidden="0" customWidth="1"/>
    <x:col min="6" max="6" width="10" hidden="0" customWidth="1"/>
    <x:col min="7" max="7" width="11" hidden="0" customWidth="1"/>
    <x:col min="8" max="8" width="18" hidden="0" customWidth="1"/>
    <x:col min="9" max="9" width="46" hidden="0" customWidth="1"/>
    <x:col min="10" max="10" width="45" hidden="0" customWidth="1"/>
  </x:cols>
  <x:sheetData>
    <x:row r="1" ht="34" customHeight="1">
      <x:c r="A1" s="6" t="str">
        <x:v>盛り上がりやすい話題ランキング</x:v>
      </x:c>
      <x:c r="B1" s="6"/>
      <x:c r="C1" s="6"/>
      <x:c r="D1" s="6"/>
      <x:c r="E1" s="6"/>
      <x:c r="F1" s="6"/>
      <x:c r="G1" s="6"/>
      <x:c r="H1" s="6"/>
      <x:c r="I1" s="6"/>
      <x:c r="J1" s="6"/>
    </x:row>
    <x:row r="2" ht="30" customHeight="1">
      <x:c r="A2" s="16" t="str">
        <x:v>再現性・返信拡張・関係前進・リスク・最新性から総合評価。スコアは報告書ベースの比較指標</x:v>
      </x:c>
      <x:c r="B2" s="16"/>
      <x:c r="C2" s="16"/>
      <x:c r="D2" s="16"/>
      <x:c r="E2" s="16"/>
      <x:c r="F2" s="16"/>
      <x:c r="G2" s="16"/>
      <x:c r="H2" s="16"/>
      <x:c r="I2" s="16"/>
      <x:c r="J2" s="16"/>
    </x:row>
    <x:row r="4" ht="28" customHeight="1">
      <x:c r="A4" s="26" t="str">
        <x:v>話題</x:v>
      </x:c>
      <x:c r="B4" s="26" t="str">
        <x:v>再現性</x:v>
      </x:c>
      <x:c r="C4" s="26" t="str">
        <x:v>返信拡張</x:v>
      </x:c>
      <x:c r="D4" s="26" t="str">
        <x:v>前進接続</x:v>
      </x:c>
      <x:c r="E4" s="26" t="str">
        <x:v>リスク</x:v>
      </x:c>
      <x:c r="F4" s="26" t="str">
        <x:v>最新性</x:v>
      </x:c>
      <x:c r="G4" s="26" t="str">
        <x:v>総合</x:v>
      </x:c>
      <x:c r="H4" s="26" t="str">
        <x:v>推奨場面</x:v>
      </x:c>
      <x:c r="I4" s="26" t="str">
        <x:v>振り方</x:v>
      </x:c>
      <x:c r="J4" s="26" t="str">
        <x:v>根拠</x:v>
      </x:c>
      <x:c r="L4" t="str">
        <x:v>話題</x:v>
      </x:c>
      <x:c r="M4" t="str">
        <x:v>総合</x:v>
      </x:c>
    </x:row>
    <x:row r="5">
      <x:c r="A5" s="36" t="str">
        <x:v>食事・店・カフェ</x:v>
      </x:c>
      <x:c r="B5" s="50" t="n">
        <x:v>5</x:v>
      </x:c>
      <x:c r="C5" s="50" t="n">
        <x:v>5</x:v>
      </x:c>
      <x:c r="D5" s="50" t="n">
        <x:v>5</x:v>
      </x:c>
      <x:c r="E5" s="50" t="n">
        <x:v>1</x:v>
      </x:c>
      <x:c r="F5" s="50" t="n">
        <x:v>5</x:v>
      </x:c>
      <x:c r="G5" s="50" t="n">
        <x:f>ROUND(B5*0.25+C5*0.25+D5*0.25+(6-E5)*0.15+F5*0.10,2)</x:f>
        <x:v>5</x:v>
      </x:c>
      <x:c r="H5" s="36" t="str">
        <x:v>全段階</x:v>
      </x:c>
      <x:c r="I5" s="36" t="str">
        <x:v>料理名・店名・好み・一緒に選ぶ</x:v>
      </x:c>
      <x:c r="J5" s="36" t="str">
        <x:v>複数相手、まどか、ともこ、みずき</x:v>
      </x:c>
      <x:c r="L5" t="str">
        <x:v>食事・店・カフェ</x:v>
      </x:c>
      <x:c r="M5" t="n">
        <x:f>G5</x:f>
        <x:v>5</x:v>
      </x:c>
    </x:row>
    <x:row r="6">
      <x:c r="A6" s="36" t="str">
        <x:v>旅行・場所・景色</x:v>
      </x:c>
      <x:c r="B6" s="50" t="n">
        <x:v>5</x:v>
      </x:c>
      <x:c r="C6" s="50" t="n">
        <x:v>5</x:v>
      </x:c>
      <x:c r="D6" s="50" t="n">
        <x:v>5</x:v>
      </x:c>
      <x:c r="E6" s="50" t="n">
        <x:v>2</x:v>
      </x:c>
      <x:c r="F6" s="50" t="n">
        <x:v>5</x:v>
      </x:c>
      <x:c r="G6" s="50" t="n">
        <x:f>ROUND(B6*0.25+C6*0.25+D6*0.25+(6-E6)*0.15+F6*0.10,2)</x:f>
        <x:v>4.85</x:v>
      </x:c>
      <x:c r="H6" s="36" t="str">
        <x:v>序盤〜前進</x:v>
      </x:c>
      <x:c r="I6" s="36" t="str">
        <x:v>場所の具体名→過ごし方→次の接点</x:v>
      </x:c>
      <x:c r="J6" s="36" t="str">
        <x:v>旅行・鞆の浦・神勝寺・下瀬・海</x:v>
      </x:c>
      <x:c r="L6" t="str">
        <x:v>旅行・場所・景色</x:v>
      </x:c>
      <x:c r="M6" t="n">
        <x:f>G6</x:f>
        <x:v>4.85</x:v>
      </x:c>
    </x:row>
    <x:row r="7">
      <x:c r="A7" s="36" t="str">
        <x:v>休日・生活圏・移動</x:v>
      </x:c>
      <x:c r="B7" s="50" t="n">
        <x:v>4.5</x:v>
      </x:c>
      <x:c r="C7" s="50" t="n">
        <x:v>4.5</x:v>
      </x:c>
      <x:c r="D7" s="50" t="n">
        <x:v>4.5</x:v>
      </x:c>
      <x:c r="E7" s="50" t="n">
        <x:v>2</x:v>
      </x:c>
      <x:c r="F7" s="50" t="n">
        <x:v>5</x:v>
      </x:c>
      <x:c r="G7" s="50" t="n">
        <x:f>ROUND(B7*0.25+C7*0.25+D7*0.25+(6-E7)*0.15+F7*0.10,2)</x:f>
        <x:v>4.47</x:v>
      </x:c>
      <x:c r="H7" s="36" t="str">
        <x:v>中盤</x:v>
      </x:c>
      <x:c r="I7" s="36" t="str">
        <x:v>地名・車・行きやすさ・生活イメージ</x:v>
      </x:c>
      <x:c r="J7" s="36" t="str">
        <x:v>福山・尾道・広島・車</x:v>
      </x:c>
      <x:c r="L7" t="str">
        <x:v>休日・生活圏・移動</x:v>
      </x:c>
      <x:c r="M7" t="n">
        <x:f>G7</x:f>
        <x:v>4.47</x:v>
      </x:c>
    </x:row>
    <x:row r="8">
      <x:c r="A8" s="36" t="str">
        <x:v>天気・当日の計画・共同検討</x:v>
      </x:c>
      <x:c r="B8" s="50" t="n">
        <x:v>2.5</x:v>
      </x:c>
      <x:c r="C8" s="50" t="n">
        <x:v>4.5</x:v>
      </x:c>
      <x:c r="D8" s="50" t="n">
        <x:v>4.5</x:v>
      </x:c>
      <x:c r="E8" s="50" t="n">
        <x:v>2</x:v>
      </x:c>
      <x:c r="F8" s="50" t="n">
        <x:v>5</x:v>
      </x:c>
      <x:c r="G8" s="50" t="n">
        <x:f>ROUND(B8*0.25+C8*0.25+D8*0.25+(6-E8)*0.15+F8*0.10,2)</x:f>
        <x:v>3.98</x:v>
      </x:c>
      <x:c r="H8" s="36" t="str">
        <x:v>関係進行後</x:v>
      </x:c>
      <x:c r="I8" s="36" t="str">
        <x:v>天気で案を切替え、候補を共同で作る</x:v>
      </x:c>
      <x:c r="J8" s="36" t="str">
        <x:v>最新みずき系列</x:v>
      </x:c>
      <x:c r="L8" t="str">
        <x:v>天気・当日の計画・共同検討</x:v>
      </x:c>
      <x:c r="M8" t="n">
        <x:f>G8</x:f>
        <x:v>3.98</x:v>
      </x:c>
    </x:row>
    <x:row r="9">
      <x:c r="A9" s="36" t="str">
        <x:v>趣味（相手の熱量あり）</x:v>
      </x:c>
      <x:c r="B9" s="50" t="n">
        <x:v>5</x:v>
      </x:c>
      <x:c r="C9" s="50" t="n">
        <x:v>4.5</x:v>
      </x:c>
      <x:c r="D9" s="50" t="n">
        <x:v>3.5</x:v>
      </x:c>
      <x:c r="E9" s="50" t="n">
        <x:v>2</x:v>
      </x:c>
      <x:c r="F9" s="50" t="n">
        <x:v>4</x:v>
      </x:c>
      <x:c r="G9" s="50" t="n">
        <x:f>ROUND(B9*0.25+C9*0.25+D9*0.25+(6-E9)*0.15+F9*0.10,2)</x:f>
        <x:v>4.25</x:v>
      </x:c>
      <x:c r="H9" s="36" t="str">
        <x:v>序盤〜中盤</x:v>
      </x:c>
      <x:c r="I9" s="36" t="str">
        <x:v>相手の情報量が増えた1テーマだけ深掘り</x:v>
      </x:c>
      <x:c r="J9" s="36" t="str">
        <x:v>映画・アニメ・本・服・推し活</x:v>
      </x:c>
      <x:c r="L9" t="str">
        <x:v>趣味（相手の熱量あり）</x:v>
      </x:c>
      <x:c r="M9" t="n">
        <x:f>G9</x:f>
        <x:v>4.25</x:v>
      </x:c>
    </x:row>
    <x:row r="10">
      <x:c r="A10" s="36" t="str">
        <x:v>仕事・仕事観</x:v>
      </x:c>
      <x:c r="B10" s="50" t="n">
        <x:v>4</x:v>
      </x:c>
      <x:c r="C10" s="50" t="n">
        <x:v>4.5</x:v>
      </x:c>
      <x:c r="D10" s="50" t="n">
        <x:v>3.5</x:v>
      </x:c>
      <x:c r="E10" s="50" t="n">
        <x:v>3</x:v>
      </x:c>
      <x:c r="F10" s="50" t="n">
        <x:v>3</x:v>
      </x:c>
      <x:c r="G10" s="50" t="n">
        <x:f>ROUND(B10*0.25+C10*0.25+D10*0.25+(6-E10)*0.15+F10*0.10,2)</x:f>
        <x:v>3.75</x:v>
      </x:c>
      <x:c r="H10" s="36" t="str">
        <x:v>温度上昇後</x:v>
      </x:c>
      <x:c r="I10" s="36" t="str">
        <x:v>具体業務→大変さ→価値観の順</x:v>
      </x:c>
      <x:c r="J10" s="36" t="str">
        <x:v>ともこ、アキ、電話報告</x:v>
      </x:c>
      <x:c r="L10" t="str">
        <x:v>仕事・仕事観</x:v>
      </x:c>
      <x:c r="M10" t="n">
        <x:f>G10</x:f>
        <x:v>3.75</x:v>
      </x:c>
    </x:row>
    <x:row r="11">
      <x:c r="A11" s="36" t="str">
        <x:v>軽い掛け合い・方言・キャラ</x:v>
      </x:c>
      <x:c r="B11" s="50" t="n">
        <x:v>3.5</x:v>
      </x:c>
      <x:c r="C11" s="50" t="n">
        <x:v>4.5</x:v>
      </x:c>
      <x:c r="D11" s="50" t="n">
        <x:v>3.5</x:v>
      </x:c>
      <x:c r="E11" s="50" t="n">
        <x:v>3.5</x:v>
      </x:c>
      <x:c r="F11" s="50" t="n">
        <x:v>5</x:v>
      </x:c>
      <x:c r="G11" s="50" t="n">
        <x:f>ROUND(B11*0.25+C11*0.25+D11*0.25+(6-E11)*0.15+F11*0.10,2)</x:f>
        <x:v>3.75</x:v>
      </x:c>
      <x:c r="H11" s="36" t="str">
        <x:v>電話・対面</x:v>
      </x:c>
      <x:c r="I11" s="36" t="str">
        <x:v>相手が笑う範囲で一言だけ</x:v>
      </x:c>
      <x:c r="J11" s="36" t="str">
        <x:v>みずき現地、電話報告</x:v>
      </x:c>
      <x:c r="L11" t="str">
        <x:v>軽い掛け合い・方言・キャラ</x:v>
      </x:c>
      <x:c r="M11" t="n">
        <x:f>G11</x:f>
        <x:v>3.75</x:v>
      </x:c>
    </x:row>
    <x:row r="12">
      <x:c r="A12" s="36" t="str">
        <x:v>恋愛観・将来像</x:v>
      </x:c>
      <x:c r="B12" s="50" t="n">
        <x:v>3</x:v>
      </x:c>
      <x:c r="C12" s="50" t="n">
        <x:v>4.5</x:v>
      </x:c>
      <x:c r="D12" s="50" t="n">
        <x:v>3</x:v>
      </x:c>
      <x:c r="E12" s="50" t="n">
        <x:v>4</x:v>
      </x:c>
      <x:c r="F12" s="50" t="n">
        <x:v>2</x:v>
      </x:c>
      <x:c r="G12" s="50" t="n">
        <x:f>ROUND(B12*0.25+C12*0.25+D12*0.25+(6-E12)*0.15+F12*0.10,2)</x:f>
        <x:v>3.13</x:v>
      </x:c>
      <x:c r="H12" s="36" t="str">
        <x:v>十分温まった後</x:v>
      </x:c>
      <x:c r="I12" s="36" t="str">
        <x:v>価値観の一段深掘り</x:v>
      </x:c>
      <x:c r="J12" s="36" t="str">
        <x:v>P003、ゆう</x:v>
      </x:c>
      <x:c r="L12" t="str">
        <x:v>恋愛観・将来像</x:v>
      </x:c>
      <x:c r="M12" t="n">
        <x:f>G12</x:f>
        <x:v>3.13</x:v>
      </x:c>
    </x:row>
    <x:row r="13">
      <x:c r="A13" s="36" t="str">
        <x:v>家族・生活能力</x:v>
      </x:c>
      <x:c r="B13" s="50" t="n">
        <x:v>2.5</x:v>
      </x:c>
      <x:c r="C13" s="50" t="n">
        <x:v>3</x:v>
      </x:c>
      <x:c r="D13" s="50" t="n">
        <x:v>1.5</x:v>
      </x:c>
      <x:c r="E13" s="50" t="n">
        <x:v>4.5</x:v>
      </x:c>
      <x:c r="F13" s="50" t="n">
        <x:v>3</x:v>
      </x:c>
      <x:c r="G13" s="50" t="n">
        <x:f>ROUND(B13*0.25+C13*0.25+D13*0.25+(6-E13)*0.15+F13*0.10,2)</x:f>
        <x:v>2.28</x:v>
      </x:c>
      <x:c r="H13" s="36" t="str">
        <x:v>相手発のみ</x:v>
      </x:c>
      <x:c r="I13" s="36" t="str">
        <x:v>相手が出した範囲を受け止める</x:v>
      </x:c>
      <x:c r="J13" s="36" t="str">
        <x:v>みずき音声。ASR不確定あり</x:v>
      </x:c>
      <x:c r="L13" t="str">
        <x:v>家族・生活能力</x:v>
      </x:c>
      <x:c r="M13" t="n">
        <x:f>G13</x:f>
        <x:v>2.28</x:v>
      </x:c>
    </x:row>
  </x:sheetData>
  <x:mergeCells>
    <x:mergeCell ref="A1:J1"/>
    <x:mergeCell ref="A2:J2"/>
  </x:mergeCells>
  <x:conditionalFormatting sqref="G5:G13">
    <x:cfRule type="colorScale" priority="1">
      <x:colorScale>
        <x:cfvo type="min"/>
        <x:cfvo type="percentile" val="50"/>
        <x:cfvo type="max"/>
        <x:color rgb="FFFDECEC"/>
        <x:color rgb="FFFFF7E6"/>
        <x:color rgb="FFEAF7F1"/>
      </x:colorScale>
    </x:cfRule>
  </x:conditionalFormatting>
  <x:pageMargins left="0.7" right="0.7" top="0.75" bottom="0.75" header="0.3" footer="0.3"/>
  <x:drawing xmlns:r="http://schemas.openxmlformats.org/officeDocument/2006/relationships" r:id="R34c9d40860df4e0c"/>
  <x:tableParts count="1">
    <x:tablePart xmlns:r="http://schemas.openxmlformats.org/officeDocument/2006/relationships" r:id="Rcc473e446372446f"/>
  </x:tableParts>
</x:worksheet>
</file>

<file path=xl/worksheets/sheet6.xml><?xml version="1.0" encoding="utf-8"?>
<x:worksheet xmlns:x="http://schemas.openxmlformats.org/spreadsheetml/2006/main">
  <x:sheetFormatPr defaultRowHeight="15"/>
  <x:cols>
    <x:col min="1" max="1" width="9" hidden="0" customWidth="1"/>
    <x:col min="2" max="2" width="16" hidden="0" customWidth="1"/>
    <x:col min="3" max="3" width="44" hidden="0" customWidth="1"/>
    <x:col min="4" max="4" width="50" hidden="0" customWidth="1"/>
    <x:col min="5" max="5" width="34" hidden="0" customWidth="1"/>
    <x:col min="6" max="6" width="38" hidden="0" customWidth="1"/>
  </x:cols>
  <x:sheetData>
    <x:row r="1" ht="34" customHeight="1">
      <x:c r="A1" s="6" t="str">
        <x:v>再現可能な会話展開テンプレート</x:v>
      </x:c>
      <x:c r="B1" s="6"/>
      <x:c r="C1" s="6"/>
      <x:c r="D1" s="6"/>
      <x:c r="E1" s="6"/>
      <x:c r="F1" s="6"/>
    </x:row>
    <x:row r="2" ht="30" customHeight="1">
      <x:c r="A2" s="16" t="str">
        <x:v>話題リストではなく、実際に盛り上がった『展開構造』を再利用する</x:v>
      </x:c>
      <x:c r="B2" s="16"/>
      <x:c r="C2" s="16"/>
      <x:c r="D2" s="16"/>
      <x:c r="E2" s="16"/>
      <x:c r="F2" s="16"/>
    </x:row>
    <x:row r="4" ht="28" customHeight="1">
      <x:c r="A4" s="26" t="str">
        <x:v>段階</x:v>
      </x:c>
      <x:c r="B4" s="26" t="str">
        <x:v>役割</x:v>
      </x:c>
      <x:c r="C4" s="26" t="str">
        <x:v>基本ルール</x:v>
      </x:c>
      <x:c r="D4" s="26" t="str">
        <x:v>テンプレート例</x:v>
      </x:c>
      <x:c r="E4" s="26" t="str">
        <x:v>成功サイン</x:v>
      </x:c>
      <x:c r="F4" s="26" t="str">
        <x:v>停止・注意条件</x:v>
      </x:c>
    </x:row>
    <x:row r="5">
      <x:c r="A5" s="36" t="n">
        <x:v>1</x:v>
      </x:c>
      <x:c r="B5" s="36" t="str">
        <x:v>入口</x:v>
      </x:c>
      <x:c r="C5" s="36" t="str">
        <x:v>相手の発言から名詞を1つ拾う</x:v>
      </x:c>
      <x:c r="D5" s="36" t="str">
        <x:v>『下瀬気になるんやね』</x:v>
      </x:c>
      <x:c r="E5" s="36" t="str">
        <x:v>相手が具体名・理由を足す</x:v>
      </x:c>
      <x:c r="F5" s="36" t="str">
        <x:v>反応が薄ければ1往復で終了</x:v>
      </x:c>
    </x:row>
    <x:row r="6">
      <x:c r="A6" s="36" t="n">
        <x:v>2</x:v>
      </x:c>
      <x:c r="B6" s="36" t="str">
        <x:v>具体化</x:v>
      </x:c>
      <x:c r="C6" s="36" t="str">
        <x:v>場所・料理・作品・場面に落とす</x:v>
      </x:c>
      <x:c r="D6" s="36" t="str">
        <x:v>『海とカフェならどっちが今の気分？』</x:v>
      </x:c>
      <x:c r="E6" s="36" t="str">
        <x:v>文量増加、具体名、絵文字</x:v>
      </x:c>
      <x:c r="F6" s="36" t="str">
        <x:v>質問は1個だけ</x:v>
      </x:c>
    </x:row>
    <x:row r="7">
      <x:c r="A7" s="36" t="n">
        <x:v>3</x:v>
      </x:c>
      <x:c r="B7" s="36" t="str">
        <x:v>短い自己開示</x:v>
      </x:c>
      <x:c r="C7" s="36" t="str">
        <x:v>自分の好み・経験を1文</x:v>
      </x:c>
      <x:c r="D7" s="36" t="str">
        <x:v>『自分は海沿い寄りが好きやな』</x:v>
      </x:c>
      <x:c r="E7" s="36" t="str">
        <x:v>相手から質問返し</x:v>
      </x:c>
      <x:c r="F7" s="36" t="str">
        <x:v>説明を始めない</x:v>
      </x:c>
    </x:row>
    <x:row r="8">
      <x:c r="A8" s="36" t="n">
        <x:v>4</x:v>
      </x:c>
      <x:c r="B8" s="36" t="str">
        <x:v>一問だけ</x:v>
      </x:c>
      <x:c r="C8" s="36" t="str">
        <x:v>相手が答えやすい問いを置く</x:v>
      </x:c>
      <x:c r="D8" s="36" t="str">
        <x:v>『一番気になるのはどこ？』</x:v>
      </x:c>
      <x:c r="E8" s="36" t="str">
        <x:v>選択・理由・エピソード</x:v>
      </x:c>
      <x:c r="F8" s="36" t="str">
        <x:v>文末の？は原則1個</x:v>
      </x:c>
    </x:row>
    <x:row r="9">
      <x:c r="A9" s="36" t="n">
        <x:v>5</x:v>
      </x:c>
      <x:c r="B9" s="36" t="str">
        <x:v>半歩留まる</x:v>
      </x:c>
      <x:c r="C9" s="36" t="str">
        <x:v>良い反応が出た話題をもう1往復</x:v>
      </x:c>
      <x:c r="D9" s="36" t="str">
        <x:v>『その感じいいな、もう少し聞きたい』</x:v>
      </x:c>
      <x:c r="E9" s="36" t="str">
        <x:v>自己開示が深まる</x:v>
      </x:c>
      <x:c r="F9" s="36" t="str">
        <x:v>すぐ別話題へ飛ばない</x:v>
      </x:c>
    </x:row>
    <x:row r="10">
      <x:c r="A10" s="36" t="n">
        <x:v>6</x:v>
      </x:c>
      <x:c r="B10" s="36" t="str">
        <x:v>次行動へ接続</x:v>
      </x:c>
      <x:c r="C10" s="36" t="str">
        <x:v>盛り上がった理由を添えて小さく提案</x:v>
      </x:c>
      <x:c r="D10" s="36" t="str">
        <x:v>『その話の続き、10分だけ電話で聞きたい』</x:v>
      </x:c>
      <x:c r="E10" s="36" t="str">
        <x:v>時間提示・代替案・前向き返答</x:v>
      </x:c>
      <x:c r="F10" s="36" t="str">
        <x:v>電話・日程・店を同時に進めない</x:v>
      </x:c>
    </x:row>
    <x:row r="11">
      <x:c r="A11" s="36" t="n">
        <x:v>7</x:v>
      </x:c>
      <x:c r="B11" s="36" t="str">
        <x:v>共同決定</x:v>
      </x:c>
      <x:c r="C11" s="36" t="str">
        <x:v>候補は2つまで、自分の第一希望を出す</x:v>
      </x:c>
      <x:c r="D11" s="36" t="str">
        <x:v>『晴れなら下瀬、曇りなら美術館。自分は下瀬寄り』</x:v>
      </x:c>
      <x:c r="E11" s="36" t="str">
        <x:v>相手が選ぶ・案を追加</x:v>
      </x:c>
      <x:c r="F11" s="36" t="str">
        <x:v>全部相手任せにしない</x:v>
      </x:c>
    </x:row>
    <x:row r="12">
      <x:c r="A12" s="36" t="n">
        <x:v>8</x:v>
      </x:c>
      <x:c r="B12" s="36" t="str">
        <x:v>締め</x:v>
      </x:c>
      <x:c r="C12" s="36" t="str">
        <x:v>感想＋理由＋次回導線を短く</x:v>
      </x:c>
      <x:c r="D12" s="36" t="str">
        <x:v>『今日話しやすくて楽しかった。また食の話しよ』</x:v>
      </x:c>
      <x:c r="E12" s="36" t="str">
        <x:v>好意のミラー返し</x:v>
      </x:c>
      <x:c r="F12" s="36" t="str">
        <x:v>終盤に宿題を増やさない</x:v>
      </x:c>
    </x:row>
  </x:sheetData>
  <x:mergeCells>
    <x:mergeCell ref="A1:F1"/>
    <x:mergeCell ref="A2:F2"/>
  </x:mergeCells>
  <x:pageMargins left="0.7" right="0.7" top="0.75" bottom="0.75" header="0.3" footer="0.3"/>
  <x:tableParts count="1">
    <x:tablePart xmlns:r="http://schemas.openxmlformats.org/officeDocument/2006/relationships" r:id="R67084d255cc74145"/>
  </x:tableParts>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42" hidden="0" customWidth="1"/>
    <x:col min="4" max="4" width="42" hidden="0" customWidth="1"/>
    <x:col min="5" max="5" width="38" hidden="0" customWidth="1"/>
    <x:col min="6" max="6" width="44" hidden="0" customWidth="1"/>
    <x:col min="7" max="7" width="46" hidden="0" customWidth="1"/>
  </x:cols>
  <x:sheetData>
    <x:row r="1" ht="34" customHeight="1">
      <x:c r="A1" s="6" t="str">
        <x:v>チャット・電話・対面の勝ち筋</x:v>
      </x:c>
      <x:c r="B1" s="6"/>
      <x:c r="C1" s="6"/>
      <x:c r="D1" s="6"/>
      <x:c r="E1" s="6"/>
      <x:c r="F1" s="6"/>
      <x:c r="G1" s="6"/>
    </x:row>
    <x:row r="2" ht="30" customHeight="1">
      <x:c r="A2" s="16" t="str">
        <x:v>同じ話題でも媒体ごとに成功構造とリスクが異なる</x:v>
      </x:c>
      <x:c r="B2" s="16"/>
      <x:c r="C2" s="16"/>
      <x:c r="D2" s="16"/>
      <x:c r="E2" s="16"/>
      <x:c r="F2" s="16"/>
      <x:c r="G2" s="16"/>
    </x:row>
    <x:row r="4" ht="28" customHeight="1">
      <x:c r="A4" s="26" t="str">
        <x:v>媒体</x:v>
      </x:c>
      <x:c r="B4" s="26" t="str">
        <x:v>現在の強さ/5</x:v>
      </x:c>
      <x:c r="C4" s="26" t="str">
        <x:v>主要な強み</x:v>
      </x:c>
      <x:c r="D4" s="26" t="str">
        <x:v>得意話題</x:v>
      </x:c>
      <x:c r="E4" s="26" t="str">
        <x:v>成功サイン</x:v>
      </x:c>
      <x:c r="F4" s="26" t="str">
        <x:v>主なリスク</x:v>
      </x:c>
      <x:c r="G4" s="26" t="str">
        <x:v>基本型</x:v>
      </x:c>
    </x:row>
    <x:row r="5">
      <x:c r="A5" s="36" t="str">
        <x:v>チャット</x:v>
      </x:c>
      <x:c r="B5" s="38" t="n">
        <x:v>4.4</x:v>
      </x:c>
      <x:c r="C5" s="36" t="str">
        <x:v>具体名、低圧提案、相手文量に合わせる</x:v>
      </x:c>
      <x:c r="D5" s="36" t="str">
        <x:v>食・旅行・店・休日・場所</x:v>
      </x:c>
      <x:c r="E5" s="36" t="str">
        <x:v>質問返し、具体名、予定提示</x:v>
      </x:c>
      <x:c r="F5" s="36" t="str">
        <x:v>複数質問、長文連投、日程と雑談の同居</x:v>
      </x:c>
      <x:c r="G5" s="36" t="str">
        <x:v>具体名→自分1文→質問1個</x:v>
      </x:c>
    </x:row>
    <x:row r="6">
      <x:c r="A6" s="36" t="str">
        <x:v>電話</x:v>
      </x:c>
      <x:c r="B6" s="38" t="n">
        <x:v>4.6</x:v>
      </x:c>
      <x:c r="C6" s="36" t="str">
        <x:v>安心感、要約返し、価値観の一段深掘り、軽い笑い</x:v>
      </x:c>
      <x:c r="D6" s="36" t="str">
        <x:v>仕事観、本、服、季節、旅行、将来像</x:v>
      </x:c>
      <x:c r="E6" s="36" t="str">
        <x:v>笑い、自発エピソード、時間延長、次回接点</x:v>
      </x:c>
      <x:c r="F6" s="36" t="str">
        <x:v>『なぜ』連打、聞き役だけ、終盤の詰め込み</x:v>
      </x:c>
      <x:c r="G6" s="36" t="str">
        <x:v>受け止め→自分の一言→一段だけ深掘り</x:v>
      </x:c>
    </x:row>
    <x:row r="7">
      <x:c r="A7" s="36" t="str">
        <x:v>対面</x:v>
      </x:c>
      <x:c r="B7" s="38" t="n">
        <x:v>4.5</x:v>
      </x:c>
      <x:c r="C7" s="36" t="str">
        <x:v>共同作業、食の反応、移動・行き先の仮決め</x:v>
      </x:c>
      <x:c r="D7" s="36" t="str">
        <x:v>食・店・場所・車・生活圏・軽い掛け合い</x:v>
      </x:c>
      <x:c r="E7" s="36" t="str">
        <x:v>追加行動、共同決定、名残惜しさ、相手の提案</x:v>
      </x:c>
      <x:c r="F7" s="36" t="str">
        <x:v>候補迷い、強いツッコミ、個人情報の深掘り</x:v>
      </x:c>
      <x:c r="G7" s="36" t="str">
        <x:v>候補1つ＋余白、相手が笑う時だけ冗談</x:v>
      </x:c>
    </x:row>
    <x:row r="10" ht="26" customHeight="1">
      <x:c r="A10" s="44" t="str">
        <x:v>電話報告の相手例</x:v>
      </x:c>
      <x:c r="B10" s="44" t="str">
        <x:v>刺さった入口</x:v>
      </x:c>
      <x:c r="C10" s="44" t="str">
        <x:v>有効な深掘り</x:v>
      </x:c>
      <x:c r="D10" s="44" t="str">
        <x:v>学び</x:v>
      </x:c>
    </x:row>
    <x:row r="11">
      <x:c r="A11" s="36" t="str">
        <x:v>アキ</x:v>
      </x:c>
      <x:c r="B11" s="36" t="str">
        <x:v>本・仕事観・予防医療</x:v>
      </x:c>
      <x:c r="C11" s="36" t="str">
        <x:v>具体の仕事→大切にしていること</x:v>
      </x:c>
      <x:c r="D11" s="36" t="str">
        <x:v>深い話へ入りやすい</x:v>
      </x:c>
    </x:row>
    <x:row r="12">
      <x:c r="A12" s="36" t="str">
        <x:v>笹</x:v>
      </x:c>
      <x:c r="B12" s="36" t="str">
        <x:v>服・季節・水・街の雰囲気</x:v>
      </x:c>
      <x:c r="C12" s="36" t="str">
        <x:v>良し悪しより空気感を言葉にする</x:v>
      </x:c>
      <x:c r="D12" s="36" t="str">
        <x:v>感性会話で熱量が上がる</x:v>
      </x:c>
    </x:row>
    <x:row r="13">
      <x:c r="A13" s="36" t="str">
        <x:v>ゆう</x:v>
      </x:c>
      <x:c r="B13" s="36" t="str">
        <x:v>結婚観・理想像・将来</x:v>
      </x:c>
      <x:c r="C13" s="36" t="str">
        <x:v>安心感を作ってから一段だけ</x:v>
      </x:c>
      <x:c r="D13" s="36" t="str">
        <x:v>自己開示と次回接点につながる</x:v>
      </x:c>
    </x:row>
  </x:sheetData>
  <x:mergeCells>
    <x:mergeCell ref="A1:G1"/>
    <x:mergeCell ref="A2:G2"/>
  </x:mergeCells>
  <x:pageMargins left="0.7" right="0.7" top="0.75" bottom="0.75" header="0.3" footer="0.3"/>
  <x:tableParts count="2">
    <x:tablePart xmlns:r="http://schemas.openxmlformats.org/officeDocument/2006/relationships" r:id="R9edd8cd81e774346"/>
    <x:tablePart xmlns:r="http://schemas.openxmlformats.org/officeDocument/2006/relationships" r:id="R90f6bff9afde491c"/>
  </x:tableParts>
</x:worksheet>
</file>

<file path=xl/worksheets/sheet8.xml><?xml version="1.0" encoding="utf-8"?>
<x:worksheet xmlns:x="http://schemas.openxmlformats.org/spreadsheetml/2006/main">
  <x:sheetFormatPr defaultRowHeight="15"/>
  <x:cols>
    <x:col min="1" max="1" width="20" hidden="0" customWidth="1"/>
    <x:col min="2" max="2" width="14" hidden="0" customWidth="1"/>
    <x:col min="3" max="3" width="25" hidden="0" customWidth="1"/>
    <x:col min="4" max="4" width="13" hidden="0" customWidth="1"/>
    <x:col min="5" max="5" width="42" hidden="0" customWidth="1"/>
    <x:col min="6" max="6" width="54" hidden="0" customWidth="1"/>
    <x:col min="7" max="7" width="48" hidden="0" customWidth="1"/>
    <x:col min="8" max="8" width="46" hidden="0" customWidth="1"/>
  </x:cols>
  <x:sheetData>
    <x:row r="1" ht="34" customHeight="1">
      <x:c r="A1" s="6" t="str">
        <x:v>相手別の反応・勝ち筋比較</x:v>
      </x:c>
      <x:c r="B1" s="6"/>
      <x:c r="C1" s="6"/>
      <x:c r="D1" s="6"/>
      <x:c r="E1" s="6"/>
      <x:c r="F1" s="6"/>
      <x:c r="G1" s="6"/>
      <x:c r="H1" s="6"/>
    </x:row>
    <x:row r="2" ht="30" customHeight="1">
      <x:c r="A2" s="16" t="str">
        <x:v>相手のタイプと関係段階に応じて、同じ強みの出し方を変える</x:v>
      </x:c>
      <x:c r="B2" s="16"/>
      <x:c r="C2" s="16"/>
      <x:c r="D2" s="16"/>
      <x:c r="E2" s="16"/>
      <x:c r="F2" s="16"/>
      <x:c r="G2" s="16"/>
      <x:c r="H2" s="16"/>
    </x:row>
    <x:row r="4" ht="28" customHeight="1">
      <x:c r="A4" s="26" t="str">
        <x:v>相手</x:v>
      </x:c>
      <x:c r="B4" s="26" t="str">
        <x:v>媒体</x:v>
      </x:c>
      <x:c r="C4" s="26" t="str">
        <x:v>関係段階</x:v>
      </x:c>
      <x:c r="D4" s="26" t="str">
        <x:v>温度感/5</x:v>
      </x:c>
      <x:c r="E4" s="26" t="str">
        <x:v>盛り上がる話題</x:v>
      </x:c>
      <x:c r="F4" s="26" t="str">
        <x:v>成功しやすい進め方</x:v>
      </x:c>
      <x:c r="G4" s="26" t="str">
        <x:v>主なリスク</x:v>
      </x:c>
      <x:c r="H4" s="26" t="str">
        <x:v>次回方針</x:v>
      </x:c>
    </x:row>
    <x:row r="5">
      <x:c r="A5" s="36" t="str">
        <x:v>まどか / P001</x:v>
      </x:c>
      <x:c r="B5" s="36" t="str">
        <x:v>Omiai</x:v>
      </x:c>
      <x:c r="C5" s="36" t="str">
        <x:v>デート・LINE移行まで</x:v>
      </x:c>
      <x:c r="D5" s="38" t="n">
        <x:v>4.5</x:v>
      </x:c>
      <x:c r="E5" s="36" t="str">
        <x:v>カフェ・旅行・日常・店</x:v>
      </x:c>
      <x:c r="F5" s="36" t="str">
        <x:v>店名の具体化、通話後の短い感想、次回提案</x:v>
      </x:c>
      <x:c r="G5" s="36" t="str">
        <x:v>質問密度、体調不良時の温度差</x:v>
      </x:c>
      <x:c r="H5" s="36" t="str">
        <x:v>相手コンディション優先。1提案ずつ</x:v>
      </x:c>
    </x:row>
    <x:row r="6">
      <x:c r="A6" s="36" t="str">
        <x:v>ともこ / P002</x:v>
      </x:c>
      <x:c r="B6" s="36" t="str">
        <x:v>with</x:v>
      </x:c>
      <x:c r="C6" s="36" t="str">
        <x:v>通話・食事調整</x:v>
      </x:c>
      <x:c r="D6" s="38" t="n">
        <x:v>4</x:v>
      </x:c>
      <x:c r="E6" s="36" t="str">
        <x:v>旅行・仕事・食事・生活リズム</x:v>
      </x:c>
      <x:c r="F6" s="36" t="str">
        <x:v>落ち着いた具体会話、観察ベースの褒め、低圧な日程提案</x:v>
      </x:c>
      <x:c r="G6" s="36" t="str">
        <x:v>長文、褒めすぎ、雑談と調整の同居</x:v>
      </x:c>
      <x:c r="H6" s="36" t="str">
        <x:v>自分の希望を1つ出し、候補2つまで</x:v>
      </x:c>
    </x:row>
    <x:row r="7">
      <x:c r="A7" s="36" t="str">
        <x:v>P003</x:v>
      </x:c>
      <x:c r="B7" s="36" t="str">
        <x:v>with</x:v>
      </x:c>
      <x:c r="C7" s="36" t="str">
        <x:v>会う前</x:v>
      </x:c>
      <x:c r="D7" s="38" t="n">
        <x:v>4</x:v>
      </x:c>
      <x:c r="E7" s="36" t="str">
        <x:v>趣味・休日・恋愛観</x:v>
      </x:c>
      <x:c r="F7" s="36" t="str">
        <x:v>相手の趣味熱量を拾う</x:v>
      </x:c>
      <x:c r="G7" s="36" t="str">
        <x:v>電話への抵抗、質問過多</x:v>
      </x:c>
      <x:c r="H7" s="36" t="str">
        <x:v>雑談後に短時間通話を一度だけ</x:v>
      </x:c>
    </x:row>
    <x:row r="8">
      <x:c r="A8" s="36" t="str">
        <x:v>P004</x:v>
      </x:c>
      <x:c r="B8" s="36" t="str">
        <x:v>with</x:v>
      </x:c>
      <x:c r="C8" s="36" t="str">
        <x:v>会う前・前進候補</x:v>
      </x:c>
      <x:c r="D8" s="38" t="n">
        <x:v>4</x:v>
      </x:c>
      <x:c r="E8" s="36" t="str">
        <x:v>電話・食事・休日・映画/写真</x:v>
      </x:c>
      <x:c r="F8" s="36" t="str">
        <x:v>軽い通話提案、具体名</x:v>
      </x:c>
      <x:c r="G8" s="36" t="str">
        <x:v>一気に日程まで詰める</x:v>
      </x:c>
      <x:c r="H8" s="36" t="str">
        <x:v>話題の熱を理由に10分通話</x:v>
      </x:c>
    </x:row>
    <x:row r="9">
      <x:c r="A9" s="36" t="str">
        <x:v>P005 / 電話</x:v>
      </x:c>
      <x:c r="B9" s="36" t="str">
        <x:v>電話</x:v>
      </x:c>
      <x:c r="C9" s="36" t="str">
        <x:v>通話済み</x:v>
      </x:c>
      <x:c r="D9" s="38" t="n">
        <x:v>5</x:v>
      </x:c>
      <x:c r="E9" s="36" t="str">
        <x:v>仕事・食事・趣味</x:v>
      </x:c>
      <x:c r="F9" s="36" t="str">
        <x:v>安心感、会話継続、前進力</x:v>
      </x:c>
      <x:c r="G9" s="36" t="str">
        <x:v>質問連続、相槌だけ</x:v>
      </x:c>
      <x:c r="H9" s="36" t="str">
        <x:v>短い通話感想＋ご飯打診</x:v>
      </x:c>
    </x:row>
    <x:row r="10">
      <x:c r="A10" s="36" t="str">
        <x:v>みずき</x:v>
      </x:c>
      <x:c r="B10" s="36" t="str">
        <x:v>LINE・対面</x:v>
      </x:c>
      <x:c r="C10" s="36" t="str">
        <x:v>対面済み・次回共同計画</x:v>
      </x:c>
      <x:c r="D10" s="38" t="n">
        <x:v>4.5</x:v>
      </x:c>
      <x:c r="E10" s="36" t="str">
        <x:v>食・カフェ・海・美術館・天気・移動・軽い掛け合い</x:v>
      </x:c>
      <x:c r="F10" s="36" t="str">
        <x:v>共同検討、相手の期待、過去の楽しかった体験を次へつなぐ</x:v>
      </x:c>
      <x:c r="G10" s="36" t="str">
        <x:v>連投、分析っぽい人物評、計画の詰め込み</x:v>
      </x:c>
      <x:c r="H10" s="36" t="str">
        <x:v>候補2つ、自分の第一希望、質問1個</x:v>
      </x:c>
    </x:row>
  </x:sheetData>
  <x:mergeCells>
    <x:mergeCell ref="A1:H1"/>
    <x:mergeCell ref="A2:H2"/>
  </x:mergeCells>
  <x:pageMargins left="0.7" right="0.7" top="0.75" bottom="0.75" header="0.3" footer="0.3"/>
  <x:tableParts count="1">
    <x:tablePart xmlns:r="http://schemas.openxmlformats.org/officeDocument/2006/relationships" r:id="Rc383438726824d3f"/>
  </x:tableParts>
</x:worksheet>
</file>

<file path=xl/worksheets/sheet9.xml><?xml version="1.0" encoding="utf-8"?>
<x:worksheet xmlns:x="http://schemas.openxmlformats.org/spreadsheetml/2006/main">
  <x:sheetFormatPr defaultRowHeight="15"/>
  <x:cols>
    <x:col min="1" max="1" width="10" hidden="0" customWidth="1"/>
    <x:col min="2" max="2" width="28" hidden="0" customWidth="1"/>
    <x:col min="3" max="3" width="66" hidden="0" customWidth="1"/>
    <x:col min="4" max="4" width="44" hidden="0" customWidth="1"/>
    <x:col min="5" max="5" width="20" hidden="0" customWidth="1"/>
    <x:col min="6" max="6" width="13" hidden="0" customWidth="1"/>
    <x:col min="7" max="7" width="42" hidden="0" customWidth="1"/>
  </x:cols>
  <x:sheetData>
    <x:row r="1" ht="34" customHeight="1">
      <x:c r="A1" s="6" t="str">
        <x:v>再利用すべき成功パターン</x:v>
      </x:c>
      <x:c r="B1" s="6"/>
      <x:c r="C1" s="6"/>
      <x:c r="D1" s="6"/>
      <x:c r="E1" s="6"/>
      <x:c r="F1" s="6"/>
      <x:c r="G1" s="6"/>
    </x:row>
    <x:row r="2" ht="30" customHeight="1">
      <x:c r="A2" s="16" t="str">
        <x:v>実際の相手反応・次行動に結びついたものを優先し、OCR断片は除外</x:v>
      </x:c>
      <x:c r="B2" s="16"/>
      <x:c r="C2" s="16"/>
      <x:c r="D2" s="16"/>
      <x:c r="E2" s="16"/>
      <x:c r="F2" s="16"/>
      <x:c r="G2" s="16"/>
    </x:row>
    <x:row r="4" ht="28" customHeight="1">
      <x:c r="A4" s="26" t="str">
        <x:v>ID</x:v>
      </x:c>
      <x:c r="B4" s="26" t="str">
        <x:v>パターン</x:v>
      </x:c>
      <x:c r="C4" s="26" t="str">
        <x:v>確認された反応</x:v>
      </x:c>
      <x:c r="D4" s="26" t="str">
        <x:v>再利用構造</x:v>
      </x:c>
      <x:c r="E4" s="26" t="str">
        <x:v>場面</x:v>
      </x:c>
      <x:c r="F4" s="26" t="str">
        <x:v>確信度</x:v>
      </x:c>
      <x:c r="G4" s="26" t="str">
        <x:v>注意</x:v>
      </x:c>
    </x:row>
    <x:row r="5">
      <x:c r="A5" s="36" t="str">
        <x:v>S01</x:v>
      </x:c>
      <x:c r="B5" s="36" t="str">
        <x:v>相手の好みを具体名へ</x:v>
      </x:c>
      <x:c r="C5" s="36" t="str">
        <x:v>カフェ話から店名が2つ出て、相手からおすすめ質問が返った</x:v>
      </x:c>
      <x:c r="D5" s="36" t="str">
        <x:v>共感→具体名→質問1個</x:v>
      </x:c>
      <x:c r="E5" s="36" t="str">
        <x:v>序盤チャット</x:v>
      </x:c>
      <x:c r="F5" s="36" t="str">
        <x:v>高</x:v>
      </x:c>
      <x:c r="G5" s="36" t="str">
        <x:v>具体名は1つから始める</x:v>
      </x:c>
    </x:row>
    <x:row r="6">
      <x:c r="A6" s="36" t="str">
        <x:v>S02</x:v>
      </x:c>
      <x:c r="B6" s="36" t="str">
        <x:v>旅行話を通話へ接続</x:v>
      </x:c>
      <x:c r="C6" s="36" t="str">
        <x:v>旅行の熱量を保ったまま20時通話を具体提案し受諾</x:v>
      </x:c>
      <x:c r="D6" s="36" t="str">
        <x:v>盛り上がり理由→時間提案</x:v>
      </x:c>
      <x:c r="E6" s="36" t="str">
        <x:v>前進直前</x:v>
      </x:c>
      <x:c r="F6" s="36" t="str">
        <x:v>高</x:v>
      </x:c>
      <x:c r="G6" s="36" t="str">
        <x:v>話題と通話を自然に結ぶ</x:v>
      </x:c>
    </x:row>
    <x:row r="7">
      <x:c r="A7" s="36" t="str">
        <x:v>S03</x:v>
      </x:c>
      <x:c r="B7" s="36" t="str">
        <x:v>通話後の感想＋デート</x:v>
      </x:c>
      <x:c r="C7" s="36" t="str">
        <x:v>相手も好印象を返し、空き時間を即提示</x:v>
      </x:c>
      <x:c r="D7" s="36" t="str">
        <x:v>感想→会いたい理由→軽い提案</x:v>
      </x:c>
      <x:c r="E7" s="36" t="str">
        <x:v>通話後</x:v>
      </x:c>
      <x:c r="F7" s="36" t="str">
        <x:v>高</x:v>
      </x:c>
      <x:c r="G7" s="36" t="str">
        <x:v>前置きを短くする</x:v>
      </x:c>
    </x:row>
    <x:row r="8">
      <x:c r="A8" s="36" t="str">
        <x:v>S04</x:v>
      </x:c>
      <x:c r="B8" s="36" t="str">
        <x:v>食の候補を合意へ</x:v>
      </x:c>
      <x:c r="C8" s="36" t="str">
        <x:v>料理・店候補が『私もここがいい』へ進んだ</x:v>
      </x:c>
      <x:c r="D8" s="36" t="str">
        <x:v>好み確認→候補1つ</x:v>
      </x:c>
      <x:c r="E8" s="36" t="str">
        <x:v>日程・店決め</x:v>
      </x:c>
      <x:c r="F8" s="36" t="str">
        <x:v>高</x:v>
      </x:c>
      <x:c r="G8" s="36" t="str">
        <x:v>3論点を1つずつに分ける</x:v>
      </x:c>
    </x:row>
    <x:row r="9">
      <x:c r="A9" s="36" t="str">
        <x:v>S05</x:v>
      </x:c>
      <x:c r="B9" s="36" t="str">
        <x:v>共同でメニューを選ぶ</x:v>
      </x:c>
      <x:c r="C9" s="36" t="str">
        <x:v>対面で注文を一緒に決め、安心感と共同感が出た</x:v>
      </x:c>
      <x:c r="D9" s="36" t="str">
        <x:v>候補を出す→相手の好みを聞く</x:v>
      </x:c>
      <x:c r="E9" s="36" t="str">
        <x:v>対面</x:v>
      </x:c>
      <x:c r="F9" s="36" t="str">
        <x:v>中〜高</x:v>
      </x:c>
      <x:c r="G9" s="36" t="str">
        <x:v>相手任せにしすぎない</x:v>
      </x:c>
    </x:row>
    <x:row r="10">
      <x:c r="A10" s="36" t="str">
        <x:v>S06</x:v>
      </x:c>
      <x:c r="B10" s="36" t="str">
        <x:v>食後の追加行動</x:v>
      </x:c>
      <x:c r="C10" s="36" t="str">
        <x:v>鞆の浦など候補を出し、食事後も一緒に移動</x:v>
      </x:c>
      <x:c r="D10" s="36" t="str">
        <x:v>候補1つ＋『少し寄る？』</x:v>
      </x:c>
      <x:c r="E10" s="36" t="str">
        <x:v>初回デート</x:v>
      </x:c>
      <x:c r="F10" s="36" t="str">
        <x:v>高</x:v>
      </x:c>
      <x:c r="G10" s="36" t="str">
        <x:v>事前に1案だけ持つ</x:v>
      </x:c>
    </x:row>
    <x:row r="11">
      <x:c r="A11" s="36" t="str">
        <x:v>S07</x:v>
      </x:c>
      <x:c r="B11" s="36" t="str">
        <x:v>観察ベースの褒め</x:v>
      </x:c>
      <x:c r="C11" s="36" t="str">
        <x:v>話し方・時間感覚など具体行動を拾うと自己認識の開示が増えた</x:v>
      </x:c>
      <x:c r="D11" s="36" t="str">
        <x:v>観察事実→短い好意</x:v>
      </x:c>
      <x:c r="E11" s="36" t="str">
        <x:v>中盤</x:v>
      </x:c>
      <x:c r="F11" s="36" t="str">
        <x:v>中〜高</x:v>
      </x:c>
      <x:c r="G11" s="36" t="str">
        <x:v>性格を言い当てない</x:v>
      </x:c>
    </x:row>
    <x:row r="12">
      <x:c r="A12" s="36" t="str">
        <x:v>S08</x:v>
      </x:c>
      <x:c r="B12" s="36" t="str">
        <x:v>最新の共同計画</x:v>
      </x:c>
      <x:c r="C12" s="36" t="str">
        <x:v>みずきが『どんなところを見つけるか期待』『出して出して』と候補提示を歓迎</x:v>
      </x:c>
      <x:c r="D12" s="36" t="str">
        <x:v>天気/場所→候補共同作成</x:v>
      </x:c>
      <x:c r="E12" s="36" t="str">
        <x:v>次回デート計画</x:v>
      </x:c>
      <x:c r="F12" s="36" t="str">
        <x:v>中〜高</x:v>
      </x:c>
      <x:c r="G12" s="36" t="str">
        <x:v>候補2つまで</x:v>
      </x:c>
    </x:row>
    <x:row r="13">
      <x:c r="A13" s="36" t="str">
        <x:v>S09</x:v>
      </x:c>
      <x:c r="B13" s="36" t="str">
        <x:v>好意の短い言語化</x:v>
      </x:c>
      <x:c r="C13" s="36" t="str">
        <x:v>『楽しかった・話しやすかった』に相手がミラー返し</x:v>
      </x:c>
      <x:c r="D13" s="36" t="str">
        <x:v>感情1文＋理由1文</x:v>
      </x:c>
      <x:c r="E13" s="36" t="str">
        <x:v>通話・デート後</x:v>
      </x:c>
      <x:c r="F13" s="36" t="str">
        <x:v>高</x:v>
      </x:c>
      <x:c r="G13" s="36" t="str">
        <x:v>褒めを盛りすぎない</x:v>
      </x:c>
    </x:row>
    <x:row r="14">
      <x:c r="A14" s="36" t="str">
        <x:v>S10</x:v>
      </x:c>
      <x:c r="B14" s="36" t="str">
        <x:v>生活圏を会う導線へ</x:v>
      </x:c>
      <x:c r="C14" s="36" t="str">
        <x:v>福山・車・移動の話から現実的な次の場所へ</x:v>
      </x:c>
      <x:c r="D14" s="36" t="str">
        <x:v>地名→行きやすさ→軽い提案</x:v>
      </x:c>
      <x:c r="E14" s="36" t="str">
        <x:v>中盤〜前進</x:v>
      </x:c>
      <x:c r="F14" s="36" t="str">
        <x:v>中〜高</x:v>
      </x:c>
      <x:c r="G14" s="36" t="str">
        <x:v>詮索せず経験談で返す</x:v>
      </x:c>
    </x:row>
  </x:sheetData>
  <x:mergeCells>
    <x:mergeCell ref="A1:G1"/>
    <x:mergeCell ref="A2:G2"/>
  </x:mergeCells>
  <x:pageMargins left="0.7" right="0.7" top="0.75" bottom="0.75" header="0.3" footer="0.3"/>
  <x:tableParts count="1">
    <x:tablePart xmlns:r="http://schemas.openxmlformats.org/officeDocument/2006/relationships" r:id="Reb006acbb0be4757"/>
  </x:tableParts>
</x:worksheet>
</file>

<file path=xl/worksheets/sheet10.xml><?xml version="1.0" encoding="utf-8"?>
<x:worksheet xmlns:x="http://schemas.openxmlformats.org/spreadsheetml/2006/main">
  <x:sheetFormatPr defaultRowHeight="15"/>
  <x:cols>
    <x:col min="1" max="1" width="10" hidden="0" customWidth="1"/>
    <x:col min="2" max="2" width="26" hidden="0" customWidth="1"/>
    <x:col min="3" max="3" width="48" hidden="0" customWidth="1"/>
    <x:col min="4" max="4" width="52" hidden="0" customWidth="1"/>
    <x:col min="5" max="5" width="52" hidden="0" customWidth="1"/>
    <x:col min="6" max="6" width="13" hidden="0" customWidth="1"/>
  </x:cols>
  <x:sheetData>
    <x:row r="1" ht="34" customHeight="1">
      <x:c r="A1" s="6" t="str">
        <x:v>失速・停滞パターンと修正ルール</x:v>
      </x:c>
      <x:c r="B1" s="6"/>
      <x:c r="C1" s="6"/>
      <x:c r="D1" s="6"/>
      <x:c r="E1" s="6"/>
      <x:c r="F1" s="6"/>
    </x:row>
    <x:row r="2" ht="30" customHeight="1">
      <x:c r="A2" s="16" t="str">
        <x:v>会話が続くことを成功と誤認せず、温度上昇・双方向性・次行動で評価</x:v>
      </x:c>
      <x:c r="B2" s="16"/>
      <x:c r="C2" s="16"/>
      <x:c r="D2" s="16"/>
      <x:c r="E2" s="16"/>
      <x:c r="F2" s="16"/>
    </x:row>
    <x:row r="4" ht="28" customHeight="1">
      <x:c r="A4" s="26" t="str">
        <x:v>ID</x:v>
      </x:c>
      <x:c r="B4" s="26" t="str">
        <x:v>失速パターン</x:v>
      </x:c>
      <x:c r="C4" s="26" t="str">
        <x:v>典型的な形</x:v>
      </x:c>
      <x:c r="D4" s="26" t="str">
        <x:v>起こること</x:v>
      </x:c>
      <x:c r="E4" s="26" t="str">
        <x:v>即時修正</x:v>
      </x:c>
      <x:c r="F4" s="26" t="str">
        <x:v>確信度</x:v>
      </x:c>
    </x:row>
    <x:row r="5">
      <x:c r="A5" s="36" t="str">
        <x:v>F01</x:v>
      </x:c>
      <x:c r="B5" s="36" t="str">
        <x:v>質問過多</x:v>
      </x:c>
      <x:c r="C5" s="36" t="str">
        <x:v>1ターンに2〜4問</x:v>
      </x:c>
      <x:c r="D5" s="36" t="str">
        <x:v>相手が回答役になり、温度上昇が止まる</x:v>
      </x:c>
      <x:c r="E5" s="36" t="str">
        <x:v>質問1個。残りは次回へ</x:v>
      </x:c>
      <x:c r="F5" s="36" t="str">
        <x:v>高</x:v>
      </x:c>
    </x:row>
    <x:row r="6">
      <x:c r="A6" s="36" t="str">
        <x:v>F02</x:v>
      </x:c>
      <x:c r="B6" s="36" t="str">
        <x:v>論点過多</x:v>
      </x:c>
      <x:c r="C6" s="36" t="str">
        <x:v>趣味・仕事・休日・褒めを同居</x:v>
      </x:c>
      <x:c r="D6" s="36" t="str">
        <x:v>返すポイントが増え、浅い返信になる</x:v>
      </x:c>
      <x:c r="E6" s="36" t="str">
        <x:v>中心テーマを1語で言えるまで削る</x:v>
      </x:c>
      <x:c r="F6" s="36" t="str">
        <x:v>高</x:v>
      </x:c>
    </x:row>
    <x:row r="7">
      <x:c r="A7" s="36" t="str">
        <x:v>F03</x:v>
      </x:c>
      <x:c r="B7" s="36" t="str">
        <x:v>長文・連投</x:v>
      </x:c>
      <x:c r="C7" s="36" t="str">
        <x:v>相手返信前に3通以上送る</x:v>
      </x:c>
      <x:c r="D7" s="36" t="str">
        <x:v>勢いはあるが負荷と圧が出る</x:v>
      </x:c>
      <x:c r="E7" s="36" t="str">
        <x:v>1通へ統合し半分に削る</x:v>
      </x:c>
      <x:c r="F7" s="36" t="str">
        <x:v>高</x:v>
      </x:c>
    </x:row>
    <x:row r="8">
      <x:c r="A8" s="36" t="str">
        <x:v>F04</x:v>
      </x:c>
      <x:c r="B8" s="36" t="str">
        <x:v>分析っぽい褒め</x:v>
      </x:c>
      <x:c r="C8" s="36" t="str">
        <x:v>『あなたは○○なタイプ』</x:v>
      </x:c>
      <x:c r="D8" s="36" t="str">
        <x:v>見透かされている感じ、打ち消し</x:v>
      </x:c>
      <x:c r="E8" s="36" t="str">
        <x:v>話し方・選び方など観察事実だけ</x:v>
      </x:c>
      <x:c r="F8" s="36" t="str">
        <x:v>高</x:v>
      </x:c>
    </x:row>
    <x:row r="9">
      <x:c r="A9" s="36" t="str">
        <x:v>F05</x:v>
      </x:c>
      <x:c r="B9" s="36" t="str">
        <x:v>褒めすぎ</x:v>
      </x:c>
      <x:c r="C9" s="36" t="str">
        <x:v>昇格間違いない等の大きい評価</x:v>
      </x:c>
      <x:c r="D9" s="36" t="str">
        <x:v>相手が否定役に回る</x:v>
      </x:c>
      <x:c r="E9" s="36" t="str">
        <x:v>等身大で一言</x:v>
      </x:c>
      <x:c r="F9" s="36" t="str">
        <x:v>中〜高</x:v>
      </x:c>
    </x:row>
    <x:row r="10">
      <x:c r="A10" s="36" t="str">
        <x:v>F06</x:v>
      </x:c>
      <x:c r="B10" s="36" t="str">
        <x:v>予定調整と雑談の同居</x:v>
      </x:c>
      <x:c r="C10" s="36" t="str">
        <x:v>感想・候補日・店・質問を一度に</x:v>
      </x:c>
      <x:c r="D10" s="36" t="str">
        <x:v>感情も調整も中途半端</x:v>
      </x:c>
      <x:c r="E10" s="36" t="str">
        <x:v>感想ターンと調整ターンを分ける</x:v>
      </x:c>
      <x:c r="F10" s="36" t="str">
        <x:v>高</x:v>
      </x:c>
    </x:row>
    <x:row r="11">
      <x:c r="A11" s="36" t="str">
        <x:v>F07</x:v>
      </x:c>
      <x:c r="B11" s="36" t="str">
        <x:v>共感より確認</x:v>
      </x:c>
      <x:c r="C11" s="36" t="str">
        <x:v>体調・忙しさに先に質問</x:v>
      </x:c>
      <x:c r="D11" s="36" t="str">
        <x:v>業務連絡っぽく説明義務が出る</x:v>
      </x:c>
      <x:c r="E11" s="36" t="str">
        <x:v>共感→返信不要感→必要なら質問1つ</x:v>
      </x:c>
      <x:c r="F11" s="36" t="str">
        <x:v>高</x:v>
      </x:c>
    </x:row>
    <x:row r="12">
      <x:c r="A12" s="36" t="str">
        <x:v>F08</x:v>
      </x:c>
      <x:c r="B12" s="36" t="str">
        <x:v>『なぜ』の連打</x:v>
      </x:c>
      <x:c r="C12" s="36" t="str">
        <x:v>理由を続けて聞く</x:v>
      </x:c>
      <x:c r="D12" s="36" t="str">
        <x:v>面接・詰問に見える</x:v>
      </x:c>
      <x:c r="E12" s="36" t="str">
        <x:v>きっかけ、好きなところ等へ言い換え</x:v>
      </x:c>
      <x:c r="F12" s="36" t="str">
        <x:v>中〜高</x:v>
      </x:c>
    </x:row>
    <x:row r="13">
      <x:c r="A13" s="36" t="str">
        <x:v>F09</x:v>
      </x:c>
      <x:c r="B13" s="36" t="str">
        <x:v>合わせすぎ</x:v>
      </x:c>
      <x:c r="C13" s="36" t="str">
        <x:v>『何でもいい』『全部合わせる』</x:v>
      </x:c>
      <x:c r="D13" s="36" t="str">
        <x:v>主体性が薄く、相手の決定負担が増える</x:v>
      </x:c>
      <x:c r="E13" s="36" t="str">
        <x:v>自分の第一希望＋相手配慮</x:v>
      </x:c>
      <x:c r="F13" s="36" t="str">
        <x:v>高</x:v>
      </x:c>
    </x:row>
    <x:row r="14">
      <x:c r="A14" s="36" t="str">
        <x:v>F10</x:v>
      </x:c>
      <x:c r="B14" s="36" t="str">
        <x:v>候補過多</x:v>
      </x:c>
      <x:c r="C14" s="36" t="str">
        <x:v>店・日程・場所を多数提示</x:v>
      </x:c>
      <x:c r="D14" s="36" t="str">
        <x:v>後回し・決め疲れ</x:v>
      </x:c>
      <x:c r="E14" s="36" t="str">
        <x:v>候補は2つまで</x:v>
      </x:c>
      <x:c r="F14" s="36" t="str">
        <x:v>高</x:v>
      </x:c>
    </x:row>
    <x:row r="15">
      <x:c r="A15" s="36" t="str">
        <x:v>F11</x:v>
      </x:c>
      <x:c r="B15" s="36" t="str">
        <x:v>強いツッコミ</x:v>
      </x:c>
      <x:c r="C15" s="36" t="str">
        <x:v>口調・方言・性格いじりを続ける</x:v>
      </x:c>
      <x:c r="D15" s="36" t="str">
        <x:v>笑いの範囲を超えると棘になる</x:v>
      </x:c>
      <x:c r="E15" s="36" t="str">
        <x:v>相手が笑う時だけ一言</x:v>
      </x:c>
      <x:c r="F15" s="36" t="str">
        <x:v>中</x:v>
      </x:c>
    </x:row>
    <x:row r="16">
      <x:c r="A16" s="36" t="str">
        <x:v>F12</x:v>
      </x:c>
      <x:c r="B16" s="36" t="str">
        <x:v>個人情報の深掘り</x:v>
      </x:c>
      <x:c r="C16" s="36" t="str">
        <x:v>家族・家事・車所有を詰める</x:v>
      </x:c>
      <x:c r="D16" s="36" t="str">
        <x:v>詮索・誤認固定化</x:v>
      </x:c>
      <x:c r="E16" s="36" t="str">
        <x:v>相手発の範囲を受け止める</x:v>
      </x:c>
      <x:c r="F16" s="36" t="str">
        <x:v>高</x:v>
      </x:c>
    </x:row>
  </x:sheetData>
  <x:mergeCells>
    <x:mergeCell ref="A1:F1"/>
    <x:mergeCell ref="A2:F2"/>
  </x:mergeCells>
  <x:pageMargins left="0.7" right="0.7" top="0.75" bottom="0.75" header="0.3" footer="0.3"/>
  <x:tableParts count="1">
    <x:tablePart xmlns:r="http://schemas.openxmlformats.org/officeDocument/2006/relationships" r:id="R8dc69cacae6f48bf"/>
  </x:tableParts>
</x:worksheet>
</file>

<file path=xl/worksheets/sheet11.xml><?xml version="1.0" encoding="utf-8"?>
<x:worksheet xmlns:x="http://schemas.openxmlformats.org/spreadsheetml/2006/main">
  <x:sheetFormatPr defaultRowHeight="15"/>
  <x:cols>
    <x:col min="1" max="1" width="16" hidden="0" customWidth="1"/>
    <x:col min="2" max="2" width="66" hidden="0" customWidth="1"/>
    <x:col min="3" max="3" width="52" hidden="0" customWidth="1"/>
    <x:col min="4" max="4" width="14" hidden="0" customWidth="1"/>
    <x:col min="5" max="5" width="48" hidden="0" customWidth="1"/>
  </x:cols>
  <x:sheetData>
    <x:row r="1" ht="34" customHeight="1">
      <x:c r="A1" s="6" t="str">
        <x:v>みずき：現地音声＋最新候補チャットの統合分析</x:v>
      </x:c>
      <x:c r="B1" s="6"/>
      <x:c r="C1" s="6"/>
      <x:c r="D1" s="6"/>
      <x:c r="E1" s="6"/>
    </x:row>
    <x:row r="2" ht="30" customHeight="1">
      <x:c r="A2" s="16" t="str">
        <x:v>関係性の断定ではなく、会話温度・共同計画・返信負荷の観点で更新</x:v>
      </x:c>
      <x:c r="B2" s="16"/>
      <x:c r="C2" s="16"/>
      <x:c r="D2" s="16"/>
      <x:c r="E2" s="16"/>
    </x:row>
    <x:row r="4" ht="28" customHeight="1">
      <x:c r="A4" s="26" t="str">
        <x:v>区分</x:v>
      </x:c>
      <x:c r="B4" s="26" t="str">
        <x:v>確認内容</x:v>
      </x:c>
      <x:c r="C4" s="26" t="str">
        <x:v>読み取り</x:v>
      </x:c>
      <x:c r="D4" s="26" t="str">
        <x:v>確信度</x:v>
      </x:c>
      <x:c r="E4" s="26" t="str">
        <x:v>実務方針</x:v>
      </x:c>
    </x:row>
    <x:row r="5">
      <x:c r="A5" s="36" t="str">
        <x:v>確認事実</x:v>
      </x:c>
      <x:c r="B5" s="36" t="str">
        <x:v>相手が『無理なく話せる感じが一番続きやすい』と明示</x:v>
      </x:c>
      <x:c r="C5" s="36" t="str">
        <x:v>安心感と自然さを重視する相手</x:v>
      </x:c>
      <x:c r="D5" s="36" t="str">
        <x:v>高</x:v>
      </x:c>
      <x:c r="E5" s="36" t="str">
        <x:v>過剰な演出より自然体</x:v>
      </x:c>
    </x:row>
    <x:row r="6">
      <x:c r="A6" s="36" t="str">
        <x:v>確認事実</x:v>
      </x:c>
      <x:c r="B6" s="36" t="str">
        <x:v>行き先について『どんなところを見つけてくれるのか期待』</x:v>
      </x:c>
      <x:c r="C6" s="36" t="str">
        <x:v>あなたの候補提示・リードを歓迎</x:v>
      </x:c>
      <x:c r="D6" s="36" t="str">
        <x:v>高</x:v>
      </x:c>
      <x:c r="E6" s="36" t="str">
        <x:v>候補は2つまで</x:v>
      </x:c>
    </x:row>
    <x:row r="7">
      <x:c r="A7" s="36" t="str">
        <x:v>確認事実</x:v>
      </x:c>
      <x:c r="B7" s="36" t="str">
        <x:v>送迎・カフェ・天気が良かった日を詳細に共有</x:v>
      </x:c>
      <x:c r="C7" s="36" t="str">
        <x:v>出来事を話したい、会話の共有度が高い</x:v>
      </x:c>
      <x:c r="D7" s="36" t="str">
        <x:v>高</x:v>
      </x:c>
      <x:c r="E7" s="36" t="str">
        <x:v>要約返し＋感想1つ</x:v>
      </x:c>
    </x:row>
    <x:row r="8">
      <x:c r="A8" s="36" t="str">
        <x:v>確認事実</x:v>
      </x:c>
      <x:c r="B8" s="36" t="str">
        <x:v>『出して出して〜！』と候補出しを促す</x:v>
      </x:c>
      <x:c r="C8" s="36" t="str">
        <x:v>共同計画への参加意欲</x:v>
      </x:c>
      <x:c r="D8" s="36" t="str">
        <x:v>高</x:v>
      </x:c>
      <x:c r="E8" s="36" t="str">
        <x:v>自分の第一希望も添える</x:v>
      </x:c>
    </x:row>
    <x:row r="9">
      <x:c r="A9" s="36" t="str">
        <x:v>確認事実</x:v>
      </x:c>
      <x:c r="B9" s="36" t="str">
        <x:v>海、美術館、下瀬、天気など具体名で会話が継続</x:v>
      </x:c>
      <x:c r="C9" s="36" t="str">
        <x:v>場所・天気・計画が強い話題</x:v>
      </x:c>
      <x:c r="D9" s="36" t="str">
        <x:v>高</x:v>
      </x:c>
      <x:c r="E9" s="36" t="str">
        <x:v>現実的な組み合わせへ</x:v>
      </x:c>
    </x:row>
    <x:row r="10">
      <x:c r="A10" s="36" t="str">
        <x:v>解釈</x:v>
      </x:c>
      <x:c r="B10" s="36" t="str">
        <x:v>軽いツッコミ・笑い・絵文字が自然に往復</x:v>
      </x:c>
      <x:c r="C10" s="36" t="str">
        <x:v>心理的距離は近め</x:v>
      </x:c>
      <x:c r="D10" s="36" t="str">
        <x:v>中〜高</x:v>
      </x:c>
      <x:c r="E10" s="36" t="str">
        <x:v>いじりは一言で止める</x:v>
      </x:c>
    </x:row>
    <x:row r="11">
      <x:c r="A11" s="36" t="str">
        <x:v>解釈</x:v>
      </x:c>
      <x:c r="B11" s="36" t="str">
        <x:v>会話温度は4〜4.5/5相当</x:v>
      </x:c>
      <x:c r="C11" s="36" t="str">
        <x:v>返信量、具体性、期待、共同計画が根拠</x:v>
      </x:c>
      <x:c r="D11" s="36" t="str">
        <x:v>中</x:v>
      </x:c>
      <x:c r="E11" s="36" t="str">
        <x:v>脈あり断定はしない</x:v>
      </x:c>
    </x:row>
    <x:row r="12">
      <x:c r="A12" s="36" t="str">
        <x:v>自分の改善</x:v>
      </x:c>
      <x:c r="B12" s="36" t="str">
        <x:v>緑の送信が3通連続する場面がある</x:v>
      </x:c>
      <x:c r="C12" s="36" t="str">
        <x:v>相手が返す前に論点が増える</x:v>
      </x:c>
      <x:c r="D12" s="36" t="str">
        <x:v>高</x:v>
      </x:c>
      <x:c r="E12" s="36" t="str">
        <x:v>1通へ統合</x:v>
      </x:c>
    </x:row>
    <x:row r="13">
      <x:c r="A13" s="36" t="str">
        <x:v>自分の改善</x:v>
      </x:c>
      <x:c r="B13" s="36" t="str">
        <x:v>『みずきらしい感じ』など人物分析的な表現</x:v>
      </x:c>
      <x:c r="C13" s="36" t="str">
        <x:v>親しさがあっても評価感が出る可能性</x:v>
      </x:c>
      <x:c r="D13" s="36" t="str">
        <x:v>中</x:v>
      </x:c>
      <x:c r="E13" s="36" t="str">
        <x:v>観察事実へ置換</x:v>
      </x:c>
    </x:row>
    <x:row r="14">
      <x:c r="A14" s="36" t="str">
        <x:v>次の勝ち筋</x:v>
      </x:c>
      <x:c r="B14" s="36" t="str">
        <x:v>晴れ案・曇り案の2つ＋自分の第一希望＋質問1個</x:v>
      </x:c>
      <x:c r="C14" s="36" t="str">
        <x:v>共同決定と主体性を両立</x:v>
      </x:c>
      <x:c r="D14" s="36" t="str">
        <x:v>高</x:v>
      </x:c>
      <x:c r="E14" s="36" t="str">
        <x:v>天気確定後に詳細を詰める</x:v>
      </x:c>
    </x:row>
  </x:sheetData>
  <x:mergeCells>
    <x:mergeCell ref="A1:E1"/>
    <x:mergeCell ref="A2:E2"/>
  </x:mergeCells>
  <x:pageMargins left="0.7" right="0.7" top="0.75" bottom="0.75" header="0.3" footer="0.3"/>
  <x:tableParts count="1">
    <x:tablePart xmlns:r="http://schemas.openxmlformats.org/officeDocument/2006/relationships" r:id="Re38b1608ed1648b0"/>
  </x:tableParts>
</x:worksheet>
</file>

<file path=xl/worksheets/sheet12.xml><?xml version="1.0" encoding="utf-8"?>
<x:worksheet xmlns:x="http://schemas.openxmlformats.org/spreadsheetml/2006/main">
  <x:sheetFormatPr defaultRowHeight="15"/>
  <x:cols>
    <x:col min="1" max="1" width="9" hidden="0" customWidth="1"/>
    <x:col min="2" max="2" width="24" hidden="0" customWidth="1"/>
    <x:col min="3" max="3" width="72" hidden="0" customWidth="1"/>
    <x:col min="4" max="4" width="48" hidden="0" customWidth="1"/>
  </x:cols>
  <x:sheetData>
    <x:row r="1" ht="34" customHeight="1">
      <x:c r="A1" s="6" t="str">
        <x:v>Codex向け：会話テンプレート抽出仕様</x:v>
      </x:c>
      <x:c r="B1" s="6"/>
      <x:c r="C1" s="6"/>
      <x:c r="D1" s="6"/>
    </x:row>
    <x:row r="2" ht="30" customHeight="1">
      <x:c r="A2" s="16" t="str">
        <x:v>最終目的『過去の電話・チャットから盛り上がる話題と振り方を抽出』へ直接つなぐ実装仕様</x:v>
      </x:c>
      <x:c r="B2" s="16"/>
      <x:c r="C2" s="16"/>
      <x:c r="D2" s="16"/>
    </x:row>
    <x:row r="4" ht="28" customHeight="1">
      <x:c r="A4" s="26" t="str">
        <x:v>工程</x:v>
      </x:c>
      <x:c r="B4" s="26" t="str">
        <x:v>処理</x:v>
      </x:c>
      <x:c r="C4" s="26" t="str">
        <x:v>必須内容</x:v>
      </x:c>
      <x:c r="D4" s="26" t="str">
        <x:v>品質条件</x:v>
      </x:c>
    </x:row>
    <x:row r="5">
      <x:c r="A5" s="36" t="n">
        <x:v>1</x:v>
      </x:c>
      <x:c r="B5" s="36" t="str">
        <x:v>入力収集</x:v>
      </x:c>
      <x:c r="C5" s="36" t="str">
        <x:v>画像OCR、音声文字起こし、実送信文、相手返信、日時、媒体、相手ID</x:v>
      </x:c>
      <x:c r="D5" s="36" t="str">
        <x:v>入力漏れ一覧を出す</x:v>
      </x:c>
    </x:row>
    <x:row r="6">
      <x:c r="A6" s="36" t="n">
        <x:v>2</x:v>
      </x:c>
      <x:c r="B6" s="36" t="str">
        <x:v>ターン正規化</x:v>
      </x:c>
      <x:c r="C6" s="36" t="str">
        <x:v>自分/相手、時刻、1発言単位、連投グループを分離</x:v>
      </x:c>
      <x:c r="D6" s="36" t="str">
        <x:v>話者不明はunknown</x:v>
      </x:c>
    </x:row>
    <x:row r="7">
      <x:c r="A7" s="36" t="n">
        <x:v>3</x:v>
      </x:c>
      <x:c r="B7" s="36" t="str">
        <x:v>話題タグ付け</x:v>
      </x:c>
      <x:c r="C7" s="36" t="str">
        <x:v>食、旅行、場所、趣味、仕事、休日、生活、恋愛観、天気、予定等</x:v>
      </x:c>
      <x:c r="D7" s="36" t="str">
        <x:v>複数タグ可、主話題は1つ</x:v>
      </x:c>
    </x:row>
    <x:row r="8">
      <x:c r="A8" s="36" t="n">
        <x:v>4</x:v>
      </x:c>
      <x:c r="B8" s="36" t="str">
        <x:v>反応指標算出</x:v>
      </x:c>
      <x:c r="C8" s="36" t="str">
        <x:v>文量比、質問返し、自己開示、固有名詞、笑い/絵文字、相手提案、次行動</x:v>
      </x:c>
      <x:c r="D8" s="36" t="str">
        <x:v>前後3ターンで比較</x:v>
      </x:c>
    </x:row>
    <x:row r="9">
      <x:c r="A9" s="36" t="n">
        <x:v>5</x:v>
      </x:c>
      <x:c r="B9" s="36" t="str">
        <x:v>話題リフト算出</x:v>
      </x:c>
      <x:c r="C9" s="36" t="str">
        <x:v>話題開始前後の温度・双方向性・前進度の変化</x:v>
      </x:c>
      <x:c r="D9" s="36" t="str">
        <x:v>単なる長文を成功としない</x:v>
      </x:c>
    </x:row>
    <x:row r="10">
      <x:c r="A10" s="36" t="n">
        <x:v>6</x:v>
      </x:c>
      <x:c r="B10" s="36" t="str">
        <x:v>発言評価</x:v>
      </x:c>
      <x:c r="C10" s="36" t="str">
        <x:v>刺さった / 維持 / 影響薄い / 失速 / 判定不能</x:v>
      </x:c>
      <x:c r="D10" s="36" t="str">
        <x:v>必ず根拠と確信度</x:v>
      </x:c>
    </x:row>
    <x:row r="11">
      <x:c r="A11" s="36" t="n">
        <x:v>7</x:v>
      </x:c>
      <x:c r="B11" s="36" t="str">
        <x:v>テンプレート抽出</x:v>
      </x:c>
      <x:c r="C11" s="36" t="str">
        <x:v>相手タイプ×媒体×フェーズ×話題×構造</x:v>
      </x:c>
      <x:c r="D11" s="36" t="str">
        <x:v>実文の丸写しでなく構造化</x:v>
      </x:c>
    </x:row>
    <x:row r="12">
      <x:c r="A12" s="36" t="n">
        <x:v>8</x:v>
      </x:c>
      <x:c r="B12" s="36" t="str">
        <x:v>反証</x:v>
      </x:c>
      <x:c r="C12" s="36" t="str">
        <x:v>相手が元から前向き、実務連絡だけ、返信が丁寧なだけ等を検討</x:v>
      </x:c>
      <x:c r="D12" s="36" t="str">
        <x:v>代替説明を残す</x:v>
      </x:c>
    </x:row>
    <x:row r="13">
      <x:c r="A13" s="36" t="n">
        <x:v>9</x:v>
      </x:c>
      <x:c r="B13" s="36" t="str">
        <x:v>最新版更新</x:v>
      </x:c>
      <x:c r="C13" s="36" t="str">
        <x:v>JSON正本→Excel→人間向けMarkdown</x:v>
      </x:c>
      <x:c r="D13" s="36" t="str">
        <x:v>旧情報は履歴保持</x:v>
      </x:c>
    </x:row>
    <x:row r="14">
      <x:c r="A14" s="36" t="n">
        <x:v>10</x:v>
      </x:c>
      <x:c r="B14" s="36" t="str">
        <x:v>品質検証</x:v>
      </x:c>
      <x:c r="C14" s="36" t="str">
        <x:v>根拠ログ、重複、OCR低信頼、個人情報、計算式、未分類</x:v>
      </x:c>
      <x:c r="D14" s="36" t="str">
        <x:v>完了条件を満たさなければ保留</x:v>
      </x:c>
    </x:row>
    <x:row r="17" ht="26" customHeight="1">
      <x:c r="A17" s="44" t="str">
        <x:v>必須出力</x:v>
      </x:c>
      <x:c r="B17" s="44" t="str">
        <x:v>内容</x:v>
      </x:c>
    </x:row>
    <x:row r="18">
      <x:c r="A18" s="36" t="str">
        <x:v>topic_stats.json</x:v>
      </x:c>
      <x:c r="B18" s="36" t="str">
        <x:v>話題別の母数、温度変化、質問返し率、前進率、確信度</x:v>
      </x:c>
    </x:row>
    <x:row r="19">
      <x:c r="A19" s="36" t="str">
        <x:v>conversation_templates.json</x:v>
      </x:c>
      <x:c r="B19" s="36" t="str">
        <x:v>媒体×フェーズ×相手タイプ別の会話構造</x:v>
      </x:c>
    </x:row>
    <x:row r="20">
      <x:c r="A20" s="36" t="str">
        <x:v>partner_summaries.json</x:v>
      </x:c>
      <x:c r="B20" s="36" t="str">
        <x:v>相手別の好反応話題・注意話題・次回方針</x:v>
      </x:c>
    </x:row>
    <x:row r="21">
      <x:c r="A21" s="36" t="str">
        <x:v>latest_report.xlsx</x:v>
      </x:c>
      <x:c r="B21" s="36" t="str">
        <x:v>ダッシュボード、ランキング、成功/失速、根拠、更新履歴</x:v>
      </x:c>
    </x:row>
    <x:row r="22">
      <x:c r="A22" s="36" t="str">
        <x:v>evidence_table.csv</x:v>
      </x:c>
      <x:c r="B22" s="36" t="str">
        <x:v>発言ID、前後ターン、判定、根拠、ソース、信頼度</x:v>
      </x:c>
    </x:row>
  </x:sheetData>
  <x:mergeCells>
    <x:mergeCell ref="A1:D1"/>
    <x:mergeCell ref="A2:D2"/>
  </x:mergeCells>
  <x:pageMargins left="0.7" right="0.7" top="0.75" bottom="0.75" header="0.3" footer="0.3"/>
  <x:tableParts count="2">
    <x:tablePart xmlns:r="http://schemas.openxmlformats.org/officeDocument/2006/relationships" r:id="R73fdc3bad9d04316"/>
    <x:tablePart xmlns:r="http://schemas.openxmlformats.org/officeDocument/2006/relationships" r:id="Re7702d4f233546a3"/>
  </x:tableParts>
</x:worksheet>
</file>

<file path=xl/worksheets/sheet13.xml><?xml version="1.0" encoding="utf-8"?>
<x:worksheet xmlns:x="http://schemas.openxmlformats.org/spreadsheetml/2006/main">
  <x:sheetFormatPr defaultRowHeight="15"/>
  <x:cols>
    <x:col min="1" max="1" width="13" hidden="0" customWidth="1"/>
    <x:col min="2" max="2" width="14" hidden="0" customWidth="1"/>
    <x:col min="3" max="3" width="16" hidden="0" customWidth="1"/>
    <x:col min="4" max="4" width="12" hidden="0" customWidth="1"/>
    <x:col min="5" max="5" width="16" hidden="0" customWidth="1"/>
    <x:col min="6" max="6" width="22" hidden="0" customWidth="1"/>
    <x:col min="7" max="7" width="48" hidden="0" customWidth="1"/>
    <x:col min="8" max="8" width="48" hidden="0" customWidth="1"/>
    <x:col min="9" max="9" width="13" hidden="0" customWidth="1"/>
    <x:col min="10" max="10" width="12" hidden="0" customWidth="1"/>
    <x:col min="11" max="11" width="12" hidden="0" customWidth="1"/>
    <x:col min="12" max="12" width="12" hidden="0" customWidth="1"/>
    <x:col min="13" max="13" width="13" hidden="0" customWidth="1"/>
    <x:col min="14" max="14" width="18" hidden="0" customWidth="1"/>
    <x:col min="15" max="15" width="14" hidden="0" customWidth="1"/>
    <x:col min="16" max="16" width="13" hidden="0" customWidth="1"/>
    <x:col min="17" max="17" width="13" hidden="0" customWidth="1"/>
    <x:col min="18" max="18" width="34" hidden="0" customWidth="1"/>
    <x:col min="19" max="19" width="32" hidden="0" customWidth="1"/>
  </x:cols>
  <x:sheetData>
    <x:row r="1" ht="34" customHeight="1">
      <x:c r="A1" s="6" t="str">
        <x:v>次回以降の会話ログ入力テンプレート</x:v>
      </x:c>
      <x:c r="B1" s="6"/>
      <x:c r="C1" s="6"/>
      <x:c r="D1" s="6"/>
      <x:c r="E1" s="6"/>
      <x:c r="F1" s="6"/>
      <x:c r="G1" s="6"/>
      <x:c r="H1" s="6"/>
      <x:c r="I1" s="6"/>
      <x:c r="J1" s="6"/>
      <x:c r="K1" s="6"/>
      <x:c r="L1" s="6"/>
      <x:c r="M1" s="6"/>
      <x:c r="N1" s="6"/>
      <x:c r="O1" s="6"/>
      <x:c r="P1" s="6"/>
      <x:c r="Q1" s="6"/>
      <x:c r="R1" s="6"/>
      <x:c r="S1" s="6"/>
    </x:row>
    <x:row r="2" ht="30" customHeight="1">
      <x:c r="A2" s="16" t="str">
        <x:v>このシートを埋めると、話題の盛り上がりと次行動への寄与を因果に近い形で比較できる</x:v>
      </x:c>
      <x:c r="B2" s="16"/>
      <x:c r="C2" s="16"/>
      <x:c r="D2" s="16"/>
      <x:c r="E2" s="16"/>
      <x:c r="F2" s="16"/>
      <x:c r="G2" s="16"/>
      <x:c r="H2" s="16"/>
      <x:c r="I2" s="16"/>
      <x:c r="J2" s="16"/>
      <x:c r="K2" s="16"/>
      <x:c r="L2" s="16"/>
      <x:c r="M2" s="16"/>
      <x:c r="N2" s="16"/>
      <x:c r="O2" s="16"/>
      <x:c r="P2" s="16"/>
      <x:c r="Q2" s="16"/>
      <x:c r="R2" s="16"/>
      <x:c r="S2" s="16"/>
    </x:row>
    <x:row r="4" ht="28" customHeight="1">
      <x:c r="A4" s="26" t="str">
        <x:v>date</x:v>
      </x:c>
      <x:c r="B4" s="26" t="str">
        <x:v>partner_id</x:v>
      </x:c>
      <x:c r="C4" s="26" t="str">
        <x:v>nickname</x:v>
      </x:c>
      <x:c r="D4" s="26" t="str">
        <x:v>媒体</x:v>
      </x:c>
      <x:c r="E4" s="26" t="str">
        <x:v>フェーズ</x:v>
      </x:c>
      <x:c r="F4" s="26" t="str">
        <x:v>主話題</x:v>
      </x:c>
      <x:c r="G4" s="26" t="str">
        <x:v>自分の送信</x:v>
      </x:c>
      <x:c r="H4" s="26" t="str">
        <x:v>相手の返信</x:v>
      </x:c>
      <x:c r="I4" s="26" t="str">
        <x:v>文量変化</x:v>
      </x:c>
      <x:c r="J4" s="26" t="str">
        <x:v>質問返し</x:v>
      </x:c>
      <x:c r="K4" s="26" t="str">
        <x:v>自己開示</x:v>
      </x:c>
      <x:c r="L4" s="26" t="str">
        <x:v>具体名</x:v>
      </x:c>
      <x:c r="M4" s="26" t="str">
        <x:v>笑い/絵文字</x:v>
      </x:c>
      <x:c r="N4" s="26" t="str">
        <x:v>次行動</x:v>
      </x:c>
      <x:c r="O4" s="26" t="str">
        <x:v>温度変化</x:v>
      </x:c>
      <x:c r="P4" s="26" t="str">
        <x:v>成功度1-5</x:v>
      </x:c>
      <x:c r="Q4" s="26" t="str">
        <x:v>確信度</x:v>
      </x:c>
      <x:c r="R4" s="26" t="str">
        <x:v>source_file</x:v>
      </x:c>
      <x:c r="S4" s="26" t="str">
        <x:v>備考</x:v>
      </x:c>
    </x:row>
    <x:row r="5">
      <x:c r="A5" s="36" t="str"/>
      <x:c r="B5" s="36" t="str"/>
      <x:c r="C5" s="36" t="str"/>
      <x:c r="D5" s="36" t="str"/>
      <x:c r="E5" s="36" t="str"/>
      <x:c r="F5" s="36" t="str"/>
      <x:c r="G5" s="36" t="str"/>
      <x:c r="H5" s="36" t="str"/>
      <x:c r="I5" s="36" t="str"/>
      <x:c r="J5" s="36" t="str"/>
      <x:c r="K5" s="36" t="str"/>
      <x:c r="L5" s="36" t="str"/>
      <x:c r="M5" s="36" t="str"/>
      <x:c r="N5" s="36" t="str"/>
      <x:c r="O5" s="36" t="str"/>
      <x:c r="P5" s="36" t="str"/>
      <x:c r="Q5" s="36" t="str"/>
      <x:c r="R5" s="36" t="str"/>
      <x:c r="S5" s="36" t="str"/>
    </x:row>
    <x:row r="6">
      <x:c r="A6" s="36" t="str"/>
      <x:c r="B6" s="36" t="str"/>
      <x:c r="C6" s="36" t="str"/>
      <x:c r="D6" s="36" t="str"/>
      <x:c r="E6" s="36" t="str"/>
      <x:c r="F6" s="36" t="str"/>
      <x:c r="G6" s="36" t="str"/>
      <x:c r="H6" s="36" t="str"/>
      <x:c r="I6" s="36" t="str"/>
      <x:c r="J6" s="36" t="str"/>
      <x:c r="K6" s="36" t="str"/>
      <x:c r="L6" s="36" t="str"/>
      <x:c r="M6" s="36" t="str"/>
      <x:c r="N6" s="36" t="str"/>
      <x:c r="O6" s="36" t="str"/>
      <x:c r="P6" s="36" t="str"/>
      <x:c r="Q6" s="36" t="str"/>
      <x:c r="R6" s="36" t="str"/>
      <x:c r="S6" s="36" t="str"/>
    </x:row>
    <x:row r="7">
      <x:c r="A7" s="36" t="str"/>
      <x:c r="B7" s="36" t="str"/>
      <x:c r="C7" s="36" t="str"/>
      <x:c r="D7" s="36" t="str"/>
      <x:c r="E7" s="36" t="str"/>
      <x:c r="F7" s="36" t="str"/>
      <x:c r="G7" s="36" t="str"/>
      <x:c r="H7" s="36" t="str"/>
      <x:c r="I7" s="36" t="str"/>
      <x:c r="J7" s="36" t="str"/>
      <x:c r="K7" s="36" t="str"/>
      <x:c r="L7" s="36" t="str"/>
      <x:c r="M7" s="36" t="str"/>
      <x:c r="N7" s="36" t="str"/>
      <x:c r="O7" s="36" t="str"/>
      <x:c r="P7" s="36" t="str"/>
      <x:c r="Q7" s="36" t="str"/>
      <x:c r="R7" s="36" t="str"/>
      <x:c r="S7" s="36" t="str"/>
    </x:row>
    <x:row r="8">
      <x:c r="A8" s="36" t="str"/>
      <x:c r="B8" s="36" t="str"/>
      <x:c r="C8" s="36" t="str"/>
      <x:c r="D8" s="36" t="str"/>
      <x:c r="E8" s="36" t="str"/>
      <x:c r="F8" s="36" t="str"/>
      <x:c r="G8" s="36" t="str"/>
      <x:c r="H8" s="36" t="str"/>
      <x:c r="I8" s="36" t="str"/>
      <x:c r="J8" s="36" t="str"/>
      <x:c r="K8" s="36" t="str"/>
      <x:c r="L8" s="36" t="str"/>
      <x:c r="M8" s="36" t="str"/>
      <x:c r="N8" s="36" t="str"/>
      <x:c r="O8" s="36" t="str"/>
      <x:c r="P8" s="36" t="str"/>
      <x:c r="Q8" s="36" t="str"/>
      <x:c r="R8" s="36" t="str"/>
      <x:c r="S8" s="36" t="str"/>
    </x:row>
    <x:row r="9">
      <x:c r="A9" s="36" t="str"/>
      <x:c r="B9" s="36" t="str"/>
      <x:c r="C9" s="36" t="str"/>
      <x:c r="D9" s="36" t="str"/>
      <x:c r="E9" s="36" t="str"/>
      <x:c r="F9" s="36" t="str"/>
      <x:c r="G9" s="36" t="str"/>
      <x:c r="H9" s="36" t="str"/>
      <x:c r="I9" s="36" t="str"/>
      <x:c r="J9" s="36" t="str"/>
      <x:c r="K9" s="36" t="str"/>
      <x:c r="L9" s="36" t="str"/>
      <x:c r="M9" s="36" t="str"/>
      <x:c r="N9" s="36" t="str"/>
      <x:c r="O9" s="36" t="str"/>
      <x:c r="P9" s="36" t="str"/>
      <x:c r="Q9" s="36" t="str"/>
      <x:c r="R9" s="36" t="str"/>
      <x:c r="S9" s="36" t="str"/>
    </x:row>
    <x:row r="10">
      <x:c r="A10" s="36" t="str"/>
      <x:c r="B10" s="36" t="str"/>
      <x:c r="C10" s="36" t="str"/>
      <x:c r="D10" s="36" t="str"/>
      <x:c r="E10" s="36" t="str"/>
      <x:c r="F10" s="36" t="str"/>
      <x:c r="G10" s="36" t="str"/>
      <x:c r="H10" s="36" t="str"/>
      <x:c r="I10" s="36" t="str"/>
      <x:c r="J10" s="36" t="str"/>
      <x:c r="K10" s="36" t="str"/>
      <x:c r="L10" s="36" t="str"/>
      <x:c r="M10" s="36" t="str"/>
      <x:c r="N10" s="36" t="str"/>
      <x:c r="O10" s="36" t="str"/>
      <x:c r="P10" s="36" t="str"/>
      <x:c r="Q10" s="36" t="str"/>
      <x:c r="R10" s="36" t="str"/>
      <x:c r="S10" s="36" t="str"/>
    </x:row>
    <x:row r="11">
      <x:c r="A11" s="36" t="str"/>
      <x:c r="B11" s="36" t="str"/>
      <x:c r="C11" s="36" t="str"/>
      <x:c r="D11" s="36" t="str"/>
      <x:c r="E11" s="36" t="str"/>
      <x:c r="F11" s="36" t="str"/>
      <x:c r="G11" s="36" t="str"/>
      <x:c r="H11" s="36" t="str"/>
      <x:c r="I11" s="36" t="str"/>
      <x:c r="J11" s="36" t="str"/>
      <x:c r="K11" s="36" t="str"/>
      <x:c r="L11" s="36" t="str"/>
      <x:c r="M11" s="36" t="str"/>
      <x:c r="N11" s="36" t="str"/>
      <x:c r="O11" s="36" t="str"/>
      <x:c r="P11" s="36" t="str"/>
      <x:c r="Q11" s="36" t="str"/>
      <x:c r="R11" s="36" t="str"/>
      <x:c r="S11" s="36" t="str"/>
    </x:row>
    <x:row r="12">
      <x:c r="A12" s="36" t="str"/>
      <x:c r="B12" s="36" t="str"/>
      <x:c r="C12" s="36" t="str"/>
      <x:c r="D12" s="36" t="str"/>
      <x:c r="E12" s="36" t="str"/>
      <x:c r="F12" s="36" t="str"/>
      <x:c r="G12" s="36" t="str"/>
      <x:c r="H12" s="36" t="str"/>
      <x:c r="I12" s="36" t="str"/>
      <x:c r="J12" s="36" t="str"/>
      <x:c r="K12" s="36" t="str"/>
      <x:c r="L12" s="36" t="str"/>
      <x:c r="M12" s="36" t="str"/>
      <x:c r="N12" s="36" t="str"/>
      <x:c r="O12" s="36" t="str"/>
      <x:c r="P12" s="36" t="str"/>
      <x:c r="Q12" s="36" t="str"/>
      <x:c r="R12" s="36" t="str"/>
      <x:c r="S12" s="36" t="str"/>
    </x:row>
    <x:row r="13">
      <x:c r="A13" s="36" t="str"/>
      <x:c r="B13" s="36" t="str"/>
      <x:c r="C13" s="36" t="str"/>
      <x:c r="D13" s="36" t="str"/>
      <x:c r="E13" s="36" t="str"/>
      <x:c r="F13" s="36" t="str"/>
      <x:c r="G13" s="36" t="str"/>
      <x:c r="H13" s="36" t="str"/>
      <x:c r="I13" s="36" t="str"/>
      <x:c r="J13" s="36" t="str"/>
      <x:c r="K13" s="36" t="str"/>
      <x:c r="L13" s="36" t="str"/>
      <x:c r="M13" s="36" t="str"/>
      <x:c r="N13" s="36" t="str"/>
      <x:c r="O13" s="36" t="str"/>
      <x:c r="P13" s="36" t="str"/>
      <x:c r="Q13" s="36" t="str"/>
      <x:c r="R13" s="36" t="str"/>
      <x:c r="S13" s="36" t="str"/>
    </x:row>
    <x:row r="14">
      <x:c r="A14" s="36" t="str"/>
      <x:c r="B14" s="36" t="str"/>
      <x:c r="C14" s="36" t="str"/>
      <x:c r="D14" s="36" t="str"/>
      <x:c r="E14" s="36" t="str"/>
      <x:c r="F14" s="36" t="str"/>
      <x:c r="G14" s="36" t="str"/>
      <x:c r="H14" s="36" t="str"/>
      <x:c r="I14" s="36" t="str"/>
      <x:c r="J14" s="36" t="str"/>
      <x:c r="K14" s="36" t="str"/>
      <x:c r="L14" s="36" t="str"/>
      <x:c r="M14" s="36" t="str"/>
      <x:c r="N14" s="36" t="str"/>
      <x:c r="O14" s="36" t="str"/>
      <x:c r="P14" s="36" t="str"/>
      <x:c r="Q14" s="36" t="str"/>
      <x:c r="R14" s="36" t="str"/>
      <x:c r="S14" s="36" t="str"/>
    </x:row>
    <x:row r="15">
      <x:c r="A15" s="36" t="str"/>
      <x:c r="B15" s="36" t="str"/>
      <x:c r="C15" s="36" t="str"/>
      <x:c r="D15" s="36" t="str"/>
      <x:c r="E15" s="36" t="str"/>
      <x:c r="F15" s="36" t="str"/>
      <x:c r="G15" s="36" t="str"/>
      <x:c r="H15" s="36" t="str"/>
      <x:c r="I15" s="36" t="str"/>
      <x:c r="J15" s="36" t="str"/>
      <x:c r="K15" s="36" t="str"/>
      <x:c r="L15" s="36" t="str"/>
      <x:c r="M15" s="36" t="str"/>
      <x:c r="N15" s="36" t="str"/>
      <x:c r="O15" s="36" t="str"/>
      <x:c r="P15" s="36" t="str"/>
      <x:c r="Q15" s="36" t="str"/>
      <x:c r="R15" s="36" t="str"/>
      <x:c r="S15" s="36" t="str"/>
    </x:row>
    <x:row r="16">
      <x:c r="A16" s="36" t="str"/>
      <x:c r="B16" s="36" t="str"/>
      <x:c r="C16" s="36" t="str"/>
      <x:c r="D16" s="36" t="str"/>
      <x:c r="E16" s="36" t="str"/>
      <x:c r="F16" s="36" t="str"/>
      <x:c r="G16" s="36" t="str"/>
      <x:c r="H16" s="36" t="str"/>
      <x:c r="I16" s="36" t="str"/>
      <x:c r="J16" s="36" t="str"/>
      <x:c r="K16" s="36" t="str"/>
      <x:c r="L16" s="36" t="str"/>
      <x:c r="M16" s="36" t="str"/>
      <x:c r="N16" s="36" t="str"/>
      <x:c r="O16" s="36" t="str"/>
      <x:c r="P16" s="36" t="str"/>
      <x:c r="Q16" s="36" t="str"/>
      <x:c r="R16" s="36" t="str"/>
      <x:c r="S16" s="36" t="str"/>
    </x:row>
    <x:row r="17">
      <x:c r="A17" s="36" t="str"/>
      <x:c r="B17" s="36" t="str"/>
      <x:c r="C17" s="36" t="str"/>
      <x:c r="D17" s="36" t="str"/>
      <x:c r="E17" s="36" t="str"/>
      <x:c r="F17" s="36" t="str"/>
      <x:c r="G17" s="36" t="str"/>
      <x:c r="H17" s="36" t="str"/>
      <x:c r="I17" s="36" t="str"/>
      <x:c r="J17" s="36" t="str"/>
      <x:c r="K17" s="36" t="str"/>
      <x:c r="L17" s="36" t="str"/>
      <x:c r="M17" s="36" t="str"/>
      <x:c r="N17" s="36" t="str"/>
      <x:c r="O17" s="36" t="str"/>
      <x:c r="P17" s="36" t="str"/>
      <x:c r="Q17" s="36" t="str"/>
      <x:c r="R17" s="36" t="str"/>
      <x:c r="S17" s="36" t="str"/>
    </x:row>
    <x:row r="18">
      <x:c r="A18" s="36" t="str"/>
      <x:c r="B18" s="36" t="str"/>
      <x:c r="C18" s="36" t="str"/>
      <x:c r="D18" s="36" t="str"/>
      <x:c r="E18" s="36" t="str"/>
      <x:c r="F18" s="36" t="str"/>
      <x:c r="G18" s="36" t="str"/>
      <x:c r="H18" s="36" t="str"/>
      <x:c r="I18" s="36" t="str"/>
      <x:c r="J18" s="36" t="str"/>
      <x:c r="K18" s="36" t="str"/>
      <x:c r="L18" s="36" t="str"/>
      <x:c r="M18" s="36" t="str"/>
      <x:c r="N18" s="36" t="str"/>
      <x:c r="O18" s="36" t="str"/>
      <x:c r="P18" s="36" t="str"/>
      <x:c r="Q18" s="36" t="str"/>
      <x:c r="R18" s="36" t="str"/>
      <x:c r="S18" s="36" t="str"/>
    </x:row>
    <x:row r="19">
      <x:c r="A19" s="36" t="str"/>
      <x:c r="B19" s="36" t="str"/>
      <x:c r="C19" s="36" t="str"/>
      <x:c r="D19" s="36" t="str"/>
      <x:c r="E19" s="36" t="str"/>
      <x:c r="F19" s="36" t="str"/>
      <x:c r="G19" s="36" t="str"/>
      <x:c r="H19" s="36" t="str"/>
      <x:c r="I19" s="36" t="str"/>
      <x:c r="J19" s="36" t="str"/>
      <x:c r="K19" s="36" t="str"/>
      <x:c r="L19" s="36" t="str"/>
      <x:c r="M19" s="36" t="str"/>
      <x:c r="N19" s="36" t="str"/>
      <x:c r="O19" s="36" t="str"/>
      <x:c r="P19" s="36" t="str"/>
      <x:c r="Q19" s="36" t="str"/>
      <x:c r="R19" s="36" t="str"/>
      <x:c r="S19" s="36" t="str"/>
    </x:row>
    <x:row r="20">
      <x:c r="A20" s="36" t="str"/>
      <x:c r="B20" s="36" t="str"/>
      <x:c r="C20" s="36" t="str"/>
      <x:c r="D20" s="36" t="str"/>
      <x:c r="E20" s="36" t="str"/>
      <x:c r="F20" s="36" t="str"/>
      <x:c r="G20" s="36" t="str"/>
      <x:c r="H20" s="36" t="str"/>
      <x:c r="I20" s="36" t="str"/>
      <x:c r="J20" s="36" t="str"/>
      <x:c r="K20" s="36" t="str"/>
      <x:c r="L20" s="36" t="str"/>
      <x:c r="M20" s="36" t="str"/>
      <x:c r="N20" s="36" t="str"/>
      <x:c r="O20" s="36" t="str"/>
      <x:c r="P20" s="36" t="str"/>
      <x:c r="Q20" s="36" t="str"/>
      <x:c r="R20" s="36" t="str"/>
      <x:c r="S20" s="36" t="str"/>
    </x:row>
    <x:row r="21">
      <x:c r="A21" s="36" t="str"/>
      <x:c r="B21" s="36" t="str"/>
      <x:c r="C21" s="36" t="str"/>
      <x:c r="D21" s="36" t="str"/>
      <x:c r="E21" s="36" t="str"/>
      <x:c r="F21" s="36" t="str"/>
      <x:c r="G21" s="36" t="str"/>
      <x:c r="H21" s="36" t="str"/>
      <x:c r="I21" s="36" t="str"/>
      <x:c r="J21" s="36" t="str"/>
      <x:c r="K21" s="36" t="str"/>
      <x:c r="L21" s="36" t="str"/>
      <x:c r="M21" s="36" t="str"/>
      <x:c r="N21" s="36" t="str"/>
      <x:c r="O21" s="36" t="str"/>
      <x:c r="P21" s="36" t="str"/>
      <x:c r="Q21" s="36" t="str"/>
      <x:c r="R21" s="36" t="str"/>
      <x:c r="S21" s="36" t="str"/>
    </x:row>
    <x:row r="22">
      <x:c r="A22" s="36" t="str"/>
      <x:c r="B22" s="36" t="str"/>
      <x:c r="C22" s="36" t="str"/>
      <x:c r="D22" s="36" t="str"/>
      <x:c r="E22" s="36" t="str"/>
      <x:c r="F22" s="36" t="str"/>
      <x:c r="G22" s="36" t="str"/>
      <x:c r="H22" s="36" t="str"/>
      <x:c r="I22" s="36" t="str"/>
      <x:c r="J22" s="36" t="str"/>
      <x:c r="K22" s="36" t="str"/>
      <x:c r="L22" s="36" t="str"/>
      <x:c r="M22" s="36" t="str"/>
      <x:c r="N22" s="36" t="str"/>
      <x:c r="O22" s="36" t="str"/>
      <x:c r="P22" s="36" t="str"/>
      <x:c r="Q22" s="36" t="str"/>
      <x:c r="R22" s="36" t="str"/>
      <x:c r="S22" s="36" t="str"/>
    </x:row>
    <x:row r="23">
      <x:c r="A23" s="36" t="str"/>
      <x:c r="B23" s="36" t="str"/>
      <x:c r="C23" s="36" t="str"/>
      <x:c r="D23" s="36" t="str"/>
      <x:c r="E23" s="36" t="str"/>
      <x:c r="F23" s="36" t="str"/>
      <x:c r="G23" s="36" t="str"/>
      <x:c r="H23" s="36" t="str"/>
      <x:c r="I23" s="36" t="str"/>
      <x:c r="J23" s="36" t="str"/>
      <x:c r="K23" s="36" t="str"/>
      <x:c r="L23" s="36" t="str"/>
      <x:c r="M23" s="36" t="str"/>
      <x:c r="N23" s="36" t="str"/>
      <x:c r="O23" s="36" t="str"/>
      <x:c r="P23" s="36" t="str"/>
      <x:c r="Q23" s="36" t="str"/>
      <x:c r="R23" s="36" t="str"/>
      <x:c r="S23" s="36" t="str"/>
    </x:row>
    <x:row r="24">
      <x:c r="A24" s="36" t="str"/>
      <x:c r="B24" s="36" t="str"/>
      <x:c r="C24" s="36" t="str"/>
      <x:c r="D24" s="36" t="str"/>
      <x:c r="E24" s="36" t="str"/>
      <x:c r="F24" s="36" t="str"/>
      <x:c r="G24" s="36" t="str"/>
      <x:c r="H24" s="36" t="str"/>
      <x:c r="I24" s="36" t="str"/>
      <x:c r="J24" s="36" t="str"/>
      <x:c r="K24" s="36" t="str"/>
      <x:c r="L24" s="36" t="str"/>
      <x:c r="M24" s="36" t="str"/>
      <x:c r="N24" s="36" t="str"/>
      <x:c r="O24" s="36" t="str"/>
      <x:c r="P24" s="36" t="str"/>
      <x:c r="Q24" s="36" t="str"/>
      <x:c r="R24" s="36" t="str"/>
      <x:c r="S24" s="36" t="str"/>
    </x:row>
    <x:row r="25">
      <x:c r="A25" s="36" t="str"/>
      <x:c r="B25" s="36" t="str"/>
      <x:c r="C25" s="36" t="str"/>
      <x:c r="D25" s="36" t="str"/>
      <x:c r="E25" s="36" t="str"/>
      <x:c r="F25" s="36" t="str"/>
      <x:c r="G25" s="36" t="str"/>
      <x:c r="H25" s="36" t="str"/>
      <x:c r="I25" s="36" t="str"/>
      <x:c r="J25" s="36" t="str"/>
      <x:c r="K25" s="36" t="str"/>
      <x:c r="L25" s="36" t="str"/>
      <x:c r="M25" s="36" t="str"/>
      <x:c r="N25" s="36" t="str"/>
      <x:c r="O25" s="36" t="str"/>
      <x:c r="P25" s="36" t="str"/>
      <x:c r="Q25" s="36" t="str"/>
      <x:c r="R25" s="36" t="str"/>
      <x:c r="S25" s="36" t="str"/>
    </x:row>
    <x:row r="26">
      <x:c r="A26" s="36" t="str"/>
      <x:c r="B26" s="36" t="str"/>
      <x:c r="C26" s="36" t="str"/>
      <x:c r="D26" s="36" t="str"/>
      <x:c r="E26" s="36" t="str"/>
      <x:c r="F26" s="36" t="str"/>
      <x:c r="G26" s="36" t="str"/>
      <x:c r="H26" s="36" t="str"/>
      <x:c r="I26" s="36" t="str"/>
      <x:c r="J26" s="36" t="str"/>
      <x:c r="K26" s="36" t="str"/>
      <x:c r="L26" s="36" t="str"/>
      <x:c r="M26" s="36" t="str"/>
      <x:c r="N26" s="36" t="str"/>
      <x:c r="O26" s="36" t="str"/>
      <x:c r="P26" s="36" t="str"/>
      <x:c r="Q26" s="36" t="str"/>
      <x:c r="R26" s="36" t="str"/>
      <x:c r="S26" s="36" t="str"/>
    </x:row>
    <x:row r="27">
      <x:c r="A27" s="36" t="str"/>
      <x:c r="B27" s="36" t="str"/>
      <x:c r="C27" s="36" t="str"/>
      <x:c r="D27" s="36" t="str"/>
      <x:c r="E27" s="36" t="str"/>
      <x:c r="F27" s="36" t="str"/>
      <x:c r="G27" s="36" t="str"/>
      <x:c r="H27" s="36" t="str"/>
      <x:c r="I27" s="36" t="str"/>
      <x:c r="J27" s="36" t="str"/>
      <x:c r="K27" s="36" t="str"/>
      <x:c r="L27" s="36" t="str"/>
      <x:c r="M27" s="36" t="str"/>
      <x:c r="N27" s="36" t="str"/>
      <x:c r="O27" s="36" t="str"/>
      <x:c r="P27" s="36" t="str"/>
      <x:c r="Q27" s="36" t="str"/>
      <x:c r="R27" s="36" t="str"/>
      <x:c r="S27" s="36" t="str"/>
    </x:row>
    <x:row r="28">
      <x:c r="A28" s="36" t="str"/>
      <x:c r="B28" s="36" t="str"/>
      <x:c r="C28" s="36" t="str"/>
      <x:c r="D28" s="36" t="str"/>
      <x:c r="E28" s="36" t="str"/>
      <x:c r="F28" s="36" t="str"/>
      <x:c r="G28" s="36" t="str"/>
      <x:c r="H28" s="36" t="str"/>
      <x:c r="I28" s="36" t="str"/>
      <x:c r="J28" s="36" t="str"/>
      <x:c r="K28" s="36" t="str"/>
      <x:c r="L28" s="36" t="str"/>
      <x:c r="M28" s="36" t="str"/>
      <x:c r="N28" s="36" t="str"/>
      <x:c r="O28" s="36" t="str"/>
      <x:c r="P28" s="36" t="str"/>
      <x:c r="Q28" s="36" t="str"/>
      <x:c r="R28" s="36" t="str"/>
      <x:c r="S28" s="36" t="str"/>
    </x:row>
    <x:row r="29">
      <x:c r="A29" s="36" t="str"/>
      <x:c r="B29" s="36" t="str"/>
      <x:c r="C29" s="36" t="str"/>
      <x:c r="D29" s="36" t="str"/>
      <x:c r="E29" s="36" t="str"/>
      <x:c r="F29" s="36" t="str"/>
      <x:c r="G29" s="36" t="str"/>
      <x:c r="H29" s="36" t="str"/>
      <x:c r="I29" s="36" t="str"/>
      <x:c r="J29" s="36" t="str"/>
      <x:c r="K29" s="36" t="str"/>
      <x:c r="L29" s="36" t="str"/>
      <x:c r="M29" s="36" t="str"/>
      <x:c r="N29" s="36" t="str"/>
      <x:c r="O29" s="36" t="str"/>
      <x:c r="P29" s="36" t="str"/>
      <x:c r="Q29" s="36" t="str"/>
      <x:c r="R29" s="36" t="str"/>
      <x:c r="S29" s="36" t="str"/>
    </x:row>
    <x:row r="30">
      <x:c r="A30" s="36" t="str"/>
      <x:c r="B30" s="36" t="str"/>
      <x:c r="C30" s="36" t="str"/>
      <x:c r="D30" s="36" t="str"/>
      <x:c r="E30" s="36" t="str"/>
      <x:c r="F30" s="36" t="str"/>
      <x:c r="G30" s="36" t="str"/>
      <x:c r="H30" s="36" t="str"/>
      <x:c r="I30" s="36" t="str"/>
      <x:c r="J30" s="36" t="str"/>
      <x:c r="K30" s="36" t="str"/>
      <x:c r="L30" s="36" t="str"/>
      <x:c r="M30" s="36" t="str"/>
      <x:c r="N30" s="36" t="str"/>
      <x:c r="O30" s="36" t="str"/>
      <x:c r="P30" s="36" t="str"/>
      <x:c r="Q30" s="36" t="str"/>
      <x:c r="R30" s="36" t="str"/>
      <x:c r="S30" s="36" t="str"/>
    </x:row>
    <x:row r="31">
      <x:c r="A31" s="36" t="str"/>
      <x:c r="B31" s="36" t="str"/>
      <x:c r="C31" s="36" t="str"/>
      <x:c r="D31" s="36" t="str"/>
      <x:c r="E31" s="36" t="str"/>
      <x:c r="F31" s="36" t="str"/>
      <x:c r="G31" s="36" t="str"/>
      <x:c r="H31" s="36" t="str"/>
      <x:c r="I31" s="36" t="str"/>
      <x:c r="J31" s="36" t="str"/>
      <x:c r="K31" s="36" t="str"/>
      <x:c r="L31" s="36" t="str"/>
      <x:c r="M31" s="36" t="str"/>
      <x:c r="N31" s="36" t="str"/>
      <x:c r="O31" s="36" t="str"/>
      <x:c r="P31" s="36" t="str"/>
      <x:c r="Q31" s="36" t="str"/>
      <x:c r="R31" s="36" t="str"/>
      <x:c r="S31" s="36" t="str"/>
    </x:row>
    <x:row r="32">
      <x:c r="A32" s="36" t="str"/>
      <x:c r="B32" s="36" t="str"/>
      <x:c r="C32" s="36" t="str"/>
      <x:c r="D32" s="36" t="str"/>
      <x:c r="E32" s="36" t="str"/>
      <x:c r="F32" s="36" t="str"/>
      <x:c r="G32" s="36" t="str"/>
      <x:c r="H32" s="36" t="str"/>
      <x:c r="I32" s="36" t="str"/>
      <x:c r="J32" s="36" t="str"/>
      <x:c r="K32" s="36" t="str"/>
      <x:c r="L32" s="36" t="str"/>
      <x:c r="M32" s="36" t="str"/>
      <x:c r="N32" s="36" t="str"/>
      <x:c r="O32" s="36" t="str"/>
      <x:c r="P32" s="36" t="str"/>
      <x:c r="Q32" s="36" t="str"/>
      <x:c r="R32" s="36" t="str"/>
      <x:c r="S32" s="36" t="str"/>
    </x:row>
    <x:row r="33">
      <x:c r="A33" s="36" t="str"/>
      <x:c r="B33" s="36" t="str"/>
      <x:c r="C33" s="36" t="str"/>
      <x:c r="D33" s="36" t="str"/>
      <x:c r="E33" s="36" t="str"/>
      <x:c r="F33" s="36" t="str"/>
      <x:c r="G33" s="36" t="str"/>
      <x:c r="H33" s="36" t="str"/>
      <x:c r="I33" s="36" t="str"/>
      <x:c r="J33" s="36" t="str"/>
      <x:c r="K33" s="36" t="str"/>
      <x:c r="L33" s="36" t="str"/>
      <x:c r="M33" s="36" t="str"/>
      <x:c r="N33" s="36" t="str"/>
      <x:c r="O33" s="36" t="str"/>
      <x:c r="P33" s="36" t="str"/>
      <x:c r="Q33" s="36" t="str"/>
      <x:c r="R33" s="36" t="str"/>
      <x:c r="S33" s="36" t="str"/>
    </x:row>
    <x:row r="34">
      <x:c r="A34" s="36" t="str"/>
      <x:c r="B34" s="36" t="str"/>
      <x:c r="C34" s="36" t="str"/>
      <x:c r="D34" s="36" t="str"/>
      <x:c r="E34" s="36" t="str"/>
      <x:c r="F34" s="36" t="str"/>
      <x:c r="G34" s="36" t="str"/>
      <x:c r="H34" s="36" t="str"/>
      <x:c r="I34" s="36" t="str"/>
      <x:c r="J34" s="36" t="str"/>
      <x:c r="K34" s="36" t="str"/>
      <x:c r="L34" s="36" t="str"/>
      <x:c r="M34" s="36" t="str"/>
      <x:c r="N34" s="36" t="str"/>
      <x:c r="O34" s="36" t="str"/>
      <x:c r="P34" s="36" t="str"/>
      <x:c r="Q34" s="36" t="str"/>
      <x:c r="R34" s="36" t="str"/>
      <x:c r="S34" s="36" t="str"/>
    </x:row>
  </x:sheetData>
  <x:mergeCells>
    <x:mergeCell ref="A1:S1"/>
    <x:mergeCell ref="A2:S2"/>
  </x:mergeCells>
  <x:dataValidations count="9">
    <x:dataValidation type="list" sqref="D5:D34">
      <x:formula1>"chat,phone,face_to_face"</x:formula1>
    </x:dataValidation>
    <x:dataValidation type="list" sqref="I5:I34">
      <x:formula1>"増えた,維持,減った,不明"</x:formula1>
    </x:dataValidation>
    <x:dataValidation type="list" sqref="J5:J34">
      <x:formula1>"あり,なし,不明"</x:formula1>
    </x:dataValidation>
    <x:dataValidation type="list" sqref="K5:K34">
      <x:formula1>"あり,なし,不明"</x:formula1>
    </x:dataValidation>
    <x:dataValidation type="list" sqref="L5:L34">
      <x:formula1>"あり,なし,不明"</x:formula1>
    </x:dataValidation>
    <x:dataValidation type="list" sqref="M5:M34">
      <x:formula1>"あり,なし,不明"</x:formula1>
    </x:dataValidation>
    <x:dataValidation type="list" sqref="N5:N34">
      <x:formula1>"あり,なし,不明"</x:formula1>
    </x:dataValidation>
    <x:dataValidation type="list" sqref="O5:O34">
      <x:formula1>"上がった,維持,下がった,不明"</x:formula1>
    </x:dataValidation>
    <x:dataValidation type="list" sqref="Q5:Q34">
      <x:formula1>"高,中,低"</x:formula1>
    </x:dataValidation>
  </x:dataValidations>
  <x:pageMargins left="0.7" right="0.7" top="0.75" bottom="0.75" header="0.3" footer="0.3"/>
  <x:tableParts count="1">
    <x:tablePart xmlns:r="http://schemas.openxmlformats.org/officeDocument/2006/relationships" r:id="R48468a27f6364d18"/>
  </x:tableParts>
</x:worksheet>
</file>

<file path=xl/worksheets/sheet14.xml><?xml version="1.0" encoding="utf-8"?>
<x:worksheet xmlns:x="http://schemas.openxmlformats.org/spreadsheetml/2006/main">
  <x:sheetFormatPr defaultRowHeight="15"/>
  <x:cols>
    <x:col min="1" max="1" width="16" hidden="0" customWidth="1"/>
    <x:col min="2" max="2" width="18" hidden="0" customWidth="1"/>
    <x:col min="3" max="3" width="82" hidden="0" customWidth="1"/>
    <x:col min="4" max="4" width="52" hidden="0" customWidth="1"/>
    <x:col min="5" max="5" width="42" hidden="0" customWidth="1"/>
  </x:cols>
  <x:sheetData>
    <x:row r="1" ht="34" customHeight="1">
      <x:c r="A1" s="6" t="str">
        <x:v>更新履歴・前版との差分</x:v>
      </x:c>
      <x:c r="B1" s="6"/>
      <x:c r="C1" s="6"/>
      <x:c r="D1" s="6"/>
      <x:c r="E1" s="6"/>
    </x:row>
    <x:row r="2" ht="30" customHeight="1">
      <x:c r="A2" s="16" t="str">
        <x:v>何を最新版として追加し、何が未確認かを明示</x:v>
      </x:c>
      <x:c r="B2" s="16"/>
      <x:c r="C2" s="16"/>
      <x:c r="D2" s="16"/>
      <x:c r="E2" s="16"/>
    </x:row>
    <x:row r="4" ht="28" customHeight="1">
      <x:c r="A4" s="26" t="str">
        <x:v>日付</x:v>
      </x:c>
      <x:c r="B4" s="26" t="str">
        <x:v>版</x:v>
      </x:c>
      <x:c r="C4" s="26" t="str">
        <x:v>更新内容</x:v>
      </x:c>
      <x:c r="D4" s="26" t="str">
        <x:v>根拠</x:v>
      </x:c>
      <x:c r="E4" s="26" t="str">
        <x:v>留保</x:v>
      </x:c>
    </x:row>
    <x:row r="5">
      <x:c r="A5" s="36" t="str">
        <x:v>2026-05-02</x:v>
      </x:c>
      <x:c r="B5" s="36" t="str">
        <x:v>v3.0</x:v>
      </x:c>
      <x:c r="C5" s="36" t="str">
        <x:v>既存Excel群を統合し、5相手・成功70・失速56・返信ルールを作成</x:v>
      </x:c>
      <x:c r="D5" s="36" t="str">
        <x:v>出会い系チャット自己改善_マスタープロジェクト_v3.xlsx</x:v>
      </x:c>
      <x:c r="E5" s="36" t="str">
        <x:v>日次ログ未入力</x:v>
      </x:c>
    </x:row>
    <x:row r="6">
      <x:c r="A6" s="36" t="str">
        <x:v>2026-05-10</x:v>
      </x:c>
      <x:c r="B6" s="36" t="str">
        <x:v>追加分析</x:v>
      </x:c>
      <x:c r="C6" s="36" t="str">
        <x:v>みずき現地音声を統合。食・場所・共同決定・軽い掛け合いを対面の強みとして確認</x:v>
      </x:c>
      <x:c r="D6" s="36" t="str">
        <x:v>260510_みずき_現地音声_AGENTS分析.json</x:v>
      </x:c>
      <x:c r="E6" s="36" t="str">
        <x:v>ASR・話者分離なし</x:v>
      </x:c>
    </x:row>
    <x:row r="7">
      <x:c r="A7" s="36" t="str">
        <x:v>2026-06頃</x:v>
      </x:c>
      <x:c r="B7" s="36" t="str">
        <x:v>最新候補</x:v>
      </x:c>
      <x:c r="C7" s="36" t="str">
        <x:v>みずきとの天気・海・美術館・下瀬・共同計画を確認。相手の期待と候補提示歓迎が明確</x:v>
      </x:c>
      <x:c r="D7" s="36" t="str">
        <x:v>1000014200/4202/4212/4214.png</x:v>
      </x:c>
      <x:c r="E7" s="36" t="str">
        <x:v>画像内日付非表示</x:v>
      </x:c>
    </x:row>
    <x:row r="8">
      <x:c r="A8" s="36" t="str">
        <x:v>2026-08-26</x:v>
      </x:c>
      <x:c r="B8" s="36" t="str">
        <x:v>最新版レポート</x:v>
      </x:c>
      <x:c r="C8" s="36" t="str">
        <x:v>報告書を再整理し、OCR断片を成功証拠から分離。話題ランキング、媒体別、最新みずき、Codex仕様を追加</x:v>
      </x:c>
      <x:c r="D8" s="36" t="str">
        <x:v>本ファイル</x:v>
      </x:c>
      <x:c r="E8" s="36" t="str">
        <x:v>全生ログの再解析は未実施</x:v>
      </x:c>
    </x:row>
  </x:sheetData>
  <x:mergeCells>
    <x:mergeCell ref="A1:E1"/>
    <x:mergeCell ref="A2:E2"/>
  </x:mergeCells>
  <x:pageMargins left="0.7" right="0.7" top="0.75" bottom="0.75" header="0.3" footer="0.3"/>
  <x:tableParts count="1">
    <x:tablePart xmlns:r="http://schemas.openxmlformats.org/officeDocument/2006/relationships" r:id="Rf1ebb906baea452a"/>
  </x:tableParts>
</x:worksheet>
</file>

<file path=xl/worksheets/sheet15.xml><?xml version="1.0" encoding="utf-8"?>
<x:worksheet xmlns:x="http://schemas.openxmlformats.org/spreadsheetml/2006/main">
  <x:sheetFormatPr defaultRowHeight="15"/>
  <x:cols>
    <x:col min="1" max="1" width="62" hidden="0" customWidth="1"/>
    <x:col min="2" max="2" width="52" hidden="0" customWidth="1"/>
    <x:col min="3" max="3" width="32" hidden="0" customWidth="1"/>
  </x:cols>
  <x:sheetData>
    <x:row r="1" ht="34" customHeight="1">
      <x:c r="A1" s="6" t="str">
        <x:v>ソース参照一覧</x:v>
      </x:c>
      <x:c r="B1" s="6"/>
      <x:c r="C1" s="6"/>
    </x:row>
    <x:row r="2" ht="30" customHeight="1">
      <x:c r="A2" s="16" t="str">
        <x:v>Library内のファイル名と内部ID。外部公開を前提としない</x:v>
      </x:c>
      <x:c r="B2" s="16"/>
      <x:c r="C2" s="16"/>
    </x:row>
    <x:row r="4" ht="28" customHeight="1">
      <x:c r="A4" s="26" t="str">
        <x:v>ファイル名</x:v>
      </x:c>
      <x:c r="B4" s="26" t="str">
        <x:v>Library file_id</x:v>
      </x:c>
      <x:c r="C4" s="26" t="str">
        <x:v>用途</x:v>
      </x:c>
    </x:row>
    <x:row r="5">
      <x:c r="A5" s="36" t="str">
        <x:v>出会い系チャット自己改善_マスタープロジェクト_v3.xlsx</x:v>
      </x:c>
      <x:c r="B5" s="36" t="str">
        <x:v>file_00000000f9507209a645596b23dc8f39</x:v>
      </x:c>
      <x:c r="C5" s="36" t="str">
        <x:v>統合マスター</x:v>
      </x:c>
    </x:row>
    <x:row r="6">
      <x:c r="A6" s="36" t="str">
        <x:v>generate_chat_evaluation.py</x:v>
      </x:c>
      <x:c r="B6" s="36" t="str">
        <x:v>file_0000000091f07206857798bb44caa95d</x:v>
      </x:c>
      <x:c r="C6" s="36" t="str">
        <x:v>まどか・ともこ評価</x:v>
      </x:c>
    </x:row>
    <x:row r="7">
      <x:c r="A7" s="36" t="str">
        <x:v>260510_みずき_現地音声_AGENTS分析.json</x:v>
      </x:c>
      <x:c r="B7" s="36" t="str">
        <x:v>file_000000008f547206b8d67c03709384f4</x:v>
      </x:c>
      <x:c r="C7" s="36" t="str">
        <x:v>現地音声分析</x:v>
      </x:c>
    </x:row>
    <x:row r="8">
      <x:c r="A8" s="36" t="str">
        <x:v>260510_みずき_現地音声_詳細抽出.html</x:v>
      </x:c>
      <x:c r="B8" s="36" t="str">
        <x:v>file_00000000da1071f89cfeb0c7367f4c8b</x:v>
      </x:c>
      <x:c r="C8" s="36" t="str">
        <x:v>詳細抽出</x:v>
      </x:c>
    </x:row>
    <x:row r="9">
      <x:c r="A9" s="36" t="str">
        <x:v>1000014200.png</x:v>
      </x:c>
      <x:c r="B9" s="36" t="str">
        <x:v>file_00000000ce14720981db26711b428d3a</x:v>
      </x:c>
      <x:c r="C9" s="36" t="str">
        <x:v>最新候補チャット</x:v>
      </x:c>
    </x:row>
    <x:row r="10">
      <x:c r="A10" s="36" t="str">
        <x:v>1000014202.png</x:v>
      </x:c>
      <x:c r="B10" s="36" t="str">
        <x:v>file_0000000039707209b7b47d2fab7720b2</x:v>
      </x:c>
      <x:c r="C10" s="36" t="str">
        <x:v>最新候補チャット</x:v>
      </x:c>
    </x:row>
    <x:row r="11">
      <x:c r="A11" s="36" t="str">
        <x:v>1000014212.png</x:v>
      </x:c>
      <x:c r="B11" s="36" t="str">
        <x:v>file_00000000a24072098bd60a5b5c138f41</x:v>
      </x:c>
      <x:c r="C11" s="36" t="str">
        <x:v>最新候補チャット</x:v>
      </x:c>
    </x:row>
    <x:row r="12">
      <x:c r="A12" s="36" t="str">
        <x:v>1000014214.png</x:v>
      </x:c>
      <x:c r="B12" s="36" t="str">
        <x:v>file_00000000b8407206a22007c7d1442bca</x:v>
      </x:c>
      <x:c r="C12" s="36" t="str">
        <x:v>最新候補チャット</x:v>
      </x:c>
    </x:row>
    <x:row r="13">
      <x:c r="A13" s="36" t="str">
        <x:v>Codex_出会い系チャット自己改善プロジェクト_完成指示書.md</x:v>
      </x:c>
      <x:c r="B13" s="36" t="str">
        <x:v>file_0000000023587206a1855623259f7de3</x:v>
      </x:c>
      <x:c r="C13" s="36" t="str">
        <x:v>運用・実装仕様</x:v>
      </x:c>
    </x:row>
    <x:row r="14">
      <x:c r="A14" s="36" t="str">
        <x:v>ChatGPT参照用_出会い系チャットマスター_v3.md</x:v>
      </x:c>
      <x:c r="B14" s="36" t="str">
        <x:v>file_00000000f898720698987e6e6170c925</x:v>
      </x:c>
      <x:c r="C14" s="36" t="str">
        <x:v>日次参照</x:v>
      </x:c>
    </x:row>
    <x:row r="15">
      <x:c r="A15" s="36" t="str">
        <x:v>OneDrive対象フォルダ</x:v>
      </x:c>
      <x:c r="B15" s="36" t="str">
        <x:v>https://onedrive.live.com/my?id=%2Fpersonal%2Fce0a04cc1ecc10a3%2FDocuments%2F%E2%98%85ChatGPT%2F10%5F%E3%83%97%E3%82%B8%E3%82%A7%E3%82%AF%E3%83%88%2F10%5F%E5%87%BA%E4%BC%9A%E3%81%84%E7%B3%BB</x:v>
      </x:c>
      <x:c r="C15" s="36" t="str">
        <x:v>依頼時の対象フォルダ</x:v>
      </x:c>
    </x:row>
  </x:sheetData>
  <x:mergeCells>
    <x:mergeCell ref="A1:C1"/>
    <x:mergeCell ref="A2:C2"/>
  </x:mergeCells>
  <x:pageMargins left="0.7" right="0.7" top="0.75" bottom="0.75" header="0.3" footer="0.3"/>
  <x:tableParts count="1">
    <x:tablePart xmlns:r="http://schemas.openxmlformats.org/officeDocument/2006/relationships" r:id="R84af357294344ea6"/>
  </x:tableParts>
</x:worksheet>
</file>